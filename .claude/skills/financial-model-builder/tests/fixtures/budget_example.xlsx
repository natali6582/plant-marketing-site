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lc" sheetId="3" state="visible" r:id="rId5"/>
    <sheet name="Outpu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<sst xmlns="http://schemas.openxmlformats.org/spreadsheetml/2006/main" count="58" uniqueCount="51">
  <si>
    <t xml:space="preserve">תקציב תפעולי חודשי — דוגמה</t>
  </si>
  <si>
    <r>
      <rPr>
        <sz val="11"/>
        <color theme="1"/>
        <rFont val="FreeSans"/>
        <family val="2"/>
        <charset val="1"/>
      </rPr>
      <t xml:space="preserve">תאים לעריכה</t>
    </r>
    <r>
      <rPr>
        <sz val="11"/>
        <color theme="1"/>
        <rFont val="Calibri"/>
        <family val="2"/>
        <charset val="1"/>
      </rPr>
      <t xml:space="preserve">: Assumptions!C2:C5 (</t>
    </r>
    <r>
      <rPr>
        <sz val="11"/>
        <color theme="1"/>
        <rFont val="FreeSans"/>
        <family val="2"/>
        <charset val="1"/>
      </rPr>
      <t xml:space="preserve">כחול</t>
    </r>
    <r>
      <rPr>
        <sz val="11"/>
        <color theme="1"/>
        <rFont val="Calibri"/>
        <family val="2"/>
        <charset val="1"/>
      </rPr>
      <t xml:space="preserve">); </t>
    </r>
    <r>
      <rPr>
        <sz val="11"/>
        <color theme="1"/>
        <rFont val="FreeSans"/>
        <family val="2"/>
        <charset val="1"/>
      </rPr>
      <t xml:space="preserve">אופק נקבע בבנייה עם </t>
    </r>
    <r>
      <rPr>
        <sz val="11"/>
        <color theme="1"/>
        <rFont val="Calibri"/>
        <family val="2"/>
        <charset val="1"/>
      </rPr>
      <t xml:space="preserve">--months (</t>
    </r>
    <r>
      <rPr>
        <sz val="11"/>
        <color theme="1"/>
        <rFont val="FreeSans"/>
        <family val="2"/>
        <charset val="1"/>
      </rPr>
      <t xml:space="preserve">אפור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</si>
  <si>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FreeSans"/>
        <family val="2"/>
        <charset val="1"/>
      </rPr>
      <t xml:space="preserve">גרסה</t>
    </r>
    <r>
      <rPr>
        <sz val="11"/>
        <color theme="1"/>
        <rFont val="Calibri"/>
        <family val="2"/>
        <charset val="1"/>
      </rPr>
      <t xml:space="preserve">: 0.1</t>
    </r>
  </si>
  <si>
    <r>
      <rPr>
        <sz val="11"/>
        <color theme="1"/>
        <rFont val="FreeSans"/>
        <family val="2"/>
        <charset val="1"/>
      </rPr>
      <t xml:space="preserve">תאריך בנייה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דטרמיניסטי — ראה </t>
    </r>
    <r>
      <rPr>
        <sz val="11"/>
        <color theme="1"/>
        <rFont val="Calibri"/>
        <family val="2"/>
        <charset val="1"/>
      </rPr>
      <t xml:space="preserve">rebuild_compare</t>
    </r>
  </si>
  <si>
    <r>
      <rPr>
        <sz val="11"/>
        <color theme="1"/>
        <rFont val="FreeSans"/>
        <family val="2"/>
        <charset val="1"/>
      </rPr>
      <t xml:space="preserve">המודל מחשב בלבד</t>
    </r>
    <r>
      <rPr>
        <sz val="11"/>
        <color theme="1"/>
        <rFont val="Calibri"/>
        <family val="2"/>
        <charset val="1"/>
      </rPr>
      <t xml:space="preserve">.</t>
    </r>
  </si>
  <si>
    <t xml:space="preserve">key</t>
  </si>
  <si>
    <t xml:space="preserve">label</t>
  </si>
  <si>
    <t xml:space="preserve">value</t>
  </si>
  <si>
    <t xml:space="preserve">unit</t>
  </si>
  <si>
    <t xml:space="preserve">source</t>
  </si>
  <si>
    <t xml:space="preserve">rev0</t>
  </si>
  <si>
    <r>
      <rPr>
        <sz val="11"/>
        <color theme="1"/>
        <rFont val="FreeSans"/>
        <family val="2"/>
        <charset val="1"/>
      </rPr>
      <t xml:space="preserve">הכנסות חודש </t>
    </r>
    <r>
      <rPr>
        <sz val="11"/>
        <color theme="1"/>
        <rFont val="Calibri"/>
        <family val="2"/>
        <charset val="1"/>
      </rPr>
      <t xml:space="preserve">1</t>
    </r>
  </si>
  <si>
    <t xml:space="preserve">₪</t>
  </si>
  <si>
    <t xml:space="preserve">המשתמש</t>
  </si>
  <si>
    <t xml:space="preserve">growth_m</t>
  </si>
  <si>
    <t xml:space="preserve">צמיחה חודשית</t>
  </si>
  <si>
    <t xml:space="preserve">%</t>
  </si>
  <si>
    <t xml:space="preserve">הנחה — לאישור</t>
  </si>
  <si>
    <t xml:space="preserve">fixed</t>
  </si>
  <si>
    <t xml:space="preserve">הוצאות קבועות</t>
  </si>
  <si>
    <t xml:space="preserve">var_pct</t>
  </si>
  <si>
    <r>
      <rPr>
        <sz val="11"/>
        <color theme="1"/>
        <rFont val="FreeSans"/>
        <family val="2"/>
        <charset val="1"/>
      </rPr>
      <t xml:space="preserve">הוצאות משתנות </t>
    </r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FreeSans"/>
        <family val="2"/>
        <charset val="1"/>
      </rPr>
      <t xml:space="preserve">מהכנסות</t>
    </r>
  </si>
  <si>
    <t xml:space="preserve">horizon</t>
  </si>
  <si>
    <r>
      <rPr>
        <sz val="11"/>
        <color theme="1"/>
        <rFont val="FreeSans"/>
        <family val="2"/>
        <charset val="1"/>
      </rPr>
      <t xml:space="preserve">אופק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חודשים</t>
    </r>
    <r>
      <rPr>
        <sz val="11"/>
        <color theme="1"/>
        <rFont val="Calibri"/>
        <family val="2"/>
        <charset val="1"/>
      </rPr>
      <t xml:space="preserve">)</t>
    </r>
  </si>
  <si>
    <t xml:space="preserve">חודשים</t>
  </si>
  <si>
    <t xml:space="preserve">CLI --months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</si>
  <si>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</si>
  <si>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</si>
  <si>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</si>
  <si>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</si>
  <si>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</si>
  <si>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</si>
  <si>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</si>
  <si>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</si>
  <si>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</si>
  <si>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</si>
  <si>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</si>
  <si>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</si>
  <si>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revenue</t>
  </si>
  <si>
    <t xml:space="preserve">הכנסות</t>
  </si>
  <si>
    <t xml:space="preserve">exp_fixed</t>
  </si>
  <si>
    <t xml:space="preserve">exp_var</t>
  </si>
  <si>
    <t xml:space="preserve">הוצאות משתנות</t>
  </si>
  <si>
    <t xml:space="preserve">expense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</si>
  <si>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הוצאות</t>
    </r>
  </si>
  <si>
    <t xml:space="preserve">profit</t>
  </si>
  <si>
    <t xml:space="preserve">רווח תפעולי</t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</si>
  <si>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הכנסות שנתי</t>
    </r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</si>
  <si>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הוצאות שנתי</t>
    </r>
  </si>
  <si>
    <r>
      <rPr>
        <sz val="11"/>
        <color theme="1"/>
        <rFont val="FreeSans"/>
        <family val="2"/>
        <charset val="1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FreeSans"/>
        <family val="2"/>
        <charset val="1"/>
      </rPr>
      <t xml:space="preserve">כ רווח שנתי</t>
    </r>
  </si>
  <si>
    <r>
      <rPr>
        <sz val="11"/>
        <color theme="1"/>
        <rFont val="FreeSans"/>
        <family val="2"/>
        <charset val="1"/>
      </rPr>
      <t xml:space="preserve">ניתוח רגישות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FreeSans"/>
        <family val="2"/>
        <charset val="1"/>
      </rPr>
      <t xml:space="preserve">רווח שנתי — צמיחה חודשית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  <charset val="1"/>
      </rPr>
      <t xml:space="preserve">שורות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FreeSans"/>
        <family val="2"/>
        <charset val="1"/>
      </rPr>
      <t xml:space="preserve">הוצאות משתנות </t>
    </r>
    <r>
      <rPr>
        <sz val="11"/>
        <color theme="1"/>
        <rFont val="Calibri"/>
        <family val="2"/>
        <charset val="1"/>
      </rPr>
      <t xml:space="preserve">% (</t>
    </r>
    <r>
      <rPr>
        <sz val="11"/>
        <color theme="1"/>
        <rFont val="FreeSans"/>
        <family val="2"/>
        <charset val="1"/>
      </rPr>
      <t xml:space="preserve">עמודות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</si>
</sst>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;\-"/>
    <numFmt numFmtId="167" formatCode="#,##0"/>
    <numFmt numFmtId="168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  <charset val="1"/>
    </font>
    <font>
      <sz val="11"/>
      <color rgb="FF0000FF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8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4.9" hidden="false" customHeight="false" outlineLevel="0" collapsed="false">
      <c r="A2" s="1" t="s">
        <v>1</v>
      </c>
    </row>
    <row r="3" customFormat="false" ht="12.65" hidden="false" customHeight="false" outlineLevel="0" collapsed="false">
      <c r="A3" s="1" t="s">
        <v>2</v>
      </c>
    </row>
    <row r="4" customFormat="false" ht="14.9" hidden="false" customHeight="false" outlineLevel="0" collapsed="false">
      <c r="A4" s="1" t="s">
        <v>3</v>
      </c>
    </row>
    <row r="5" customFormat="false" ht="14.9" hidden="false" customHeight="false" outlineLevel="0" collapsed="false">
      <c r="A5" s="1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customFormat="false" ht="15" hidden="false" customHeight="false" outlineLevel="0" collapsed="false">
      <c r="A2" s="2" t="s">
        <v>10</v>
      </c>
      <c r="B2" s="1" t="s">
        <v>11</v>
      </c>
      <c r="C2" s="3" t="n">
        <v>500000</v>
      </c>
      <c r="D2" s="2" t="s">
        <v>12</v>
      </c>
      <c r="E2" s="1" t="s">
        <v>13</v>
      </c>
    </row>
    <row r="3" customFormat="false" ht="15" hidden="false" customHeight="false" outlineLevel="0" collapsed="false">
      <c r="A3" s="2" t="s">
        <v>14</v>
      </c>
      <c r="B3" s="1" t="s">
        <v>15</v>
      </c>
      <c r="C3" s="4" t="n">
        <v>0.015</v>
      </c>
      <c r="D3" s="2" t="s">
        <v>16</v>
      </c>
      <c r="E3" s="1" t="s">
        <v>17</v>
      </c>
    </row>
    <row r="4" customFormat="false" ht="15" hidden="false" customHeight="false" outlineLevel="0" collapsed="false">
      <c r="A4" s="2" t="s">
        <v>18</v>
      </c>
      <c r="B4" s="1" t="s">
        <v>19</v>
      </c>
      <c r="C4" s="3" t="n">
        <v>180000</v>
      </c>
      <c r="D4" s="2" t="s">
        <v>12</v>
      </c>
      <c r="E4" s="1" t="s">
        <v>13</v>
      </c>
    </row>
    <row r="5" customFormat="false" ht="15" hidden="false" customHeight="false" outlineLevel="0" collapsed="false">
      <c r="A5" s="2" t="s">
        <v>20</v>
      </c>
      <c r="B5" s="1" t="s">
        <v>21</v>
      </c>
      <c r="C5" s="5" t="n">
        <v>0.45</v>
      </c>
      <c r="D5" s="2" t="s">
        <v>16</v>
      </c>
      <c r="E5" s="1" t="s">
        <v>13</v>
      </c>
    </row>
    <row r="6" customFormat="false" ht="15" hidden="false" customHeight="false" outlineLevel="0" collapsed="false">
      <c r="A6" s="2" t="s">
        <v>22</v>
      </c>
      <c r="B6" s="1" t="s">
        <v>23</v>
      </c>
      <c r="C6" s="6" t="n">
        <v>12</v>
      </c>
      <c r="D6" s="1" t="s">
        <v>24</v>
      </c>
      <c r="E6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5</v>
      </c>
      <c r="B1" s="2" t="s">
        <v>6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</row>
    <row r="2" customFormat="false" ht="15" hidden="false" customHeight="false" outlineLevel="0" collapsed="false">
      <c r="A2" s="7" t="s">
        <v>38</v>
      </c>
      <c r="B2" s="1" t="s">
        <v>39</v>
      </c>
      <c r="C2" s="8" t="n">
        <f aca="false">Assumptions!$C$2</f>
        <v>500000</v>
      </c>
      <c r="D2" s="8" t="n">
        <f aca="false">C2*(1+Assumptions!$C$3)</f>
        <v>507500</v>
      </c>
      <c r="E2" s="8" t="n">
        <f aca="false">D2*(1+Assumptions!$C$3)</f>
        <v>515112.5</v>
      </c>
      <c r="F2" s="8" t="n">
        <f aca="false">E2*(1+Assumptions!$C$3)</f>
        <v>522839.1875</v>
      </c>
      <c r="G2" s="8" t="n">
        <f aca="false">F2*(1+Assumptions!$C$3)</f>
        <v>530681.7753125</v>
      </c>
      <c r="H2" s="8" t="n">
        <f aca="false">G2*(1+Assumptions!$C$3)</f>
        <v>538642.001942187</v>
      </c>
      <c r="I2" s="8" t="n">
        <f aca="false">H2*(1+Assumptions!$C$3)</f>
        <v>546721.63197132</v>
      </c>
      <c r="J2" s="8" t="n">
        <f aca="false">I2*(1+Assumptions!$C$3)</f>
        <v>554922.45645089</v>
      </c>
      <c r="K2" s="8" t="n">
        <f aca="false">J2*(1+Assumptions!$C$3)</f>
        <v>563246.293297653</v>
      </c>
      <c r="L2" s="8" t="n">
        <f aca="false">K2*(1+Assumptions!$C$3)</f>
        <v>571694.987697118</v>
      </c>
      <c r="M2" s="8" t="n">
        <f aca="false">L2*(1+Assumptions!$C$3)</f>
        <v>580270.412512575</v>
      </c>
      <c r="N2" s="8" t="n">
        <f aca="false">M2*(1+Assumptions!$C$3)</f>
        <v>588974.468700263</v>
      </c>
    </row>
    <row r="3" customFormat="false" ht="15" hidden="false" customHeight="false" outlineLevel="0" collapsed="false">
      <c r="A3" s="7" t="s">
        <v>40</v>
      </c>
      <c r="B3" s="1" t="s">
        <v>19</v>
      </c>
      <c r="C3" s="8" t="n">
        <f aca="false">Assumptions!$C$4+0*C2</f>
        <v>180000</v>
      </c>
      <c r="D3" s="8" t="n">
        <f aca="false">Assumptions!$C$4+0*D2</f>
        <v>180000</v>
      </c>
      <c r="E3" s="8" t="n">
        <f aca="false">Assumptions!$C$4+0*E2</f>
        <v>180000</v>
      </c>
      <c r="F3" s="8" t="n">
        <f aca="false">Assumptions!$C$4+0*F2</f>
        <v>180000</v>
      </c>
      <c r="G3" s="8" t="n">
        <f aca="false">Assumptions!$C$4+0*G2</f>
        <v>180000</v>
      </c>
      <c r="H3" s="8" t="n">
        <f aca="false">Assumptions!$C$4+0*H2</f>
        <v>180000</v>
      </c>
      <c r="I3" s="8" t="n">
        <f aca="false">Assumptions!$C$4+0*I2</f>
        <v>180000</v>
      </c>
      <c r="J3" s="8" t="n">
        <f aca="false">Assumptions!$C$4+0*J2</f>
        <v>180000</v>
      </c>
      <c r="K3" s="8" t="n">
        <f aca="false">Assumptions!$C$4+0*K2</f>
        <v>180000</v>
      </c>
      <c r="L3" s="8" t="n">
        <f aca="false">Assumptions!$C$4+0*L2</f>
        <v>180000</v>
      </c>
      <c r="M3" s="8" t="n">
        <f aca="false">Assumptions!$C$4+0*M2</f>
        <v>180000</v>
      </c>
      <c r="N3" s="8" t="n">
        <f aca="false">Assumptions!$C$4+0*N2</f>
        <v>180000</v>
      </c>
    </row>
    <row r="4" customFormat="false" ht="15" hidden="false" customHeight="false" outlineLevel="0" collapsed="false">
      <c r="A4" s="7" t="s">
        <v>41</v>
      </c>
      <c r="B4" s="1" t="s">
        <v>42</v>
      </c>
      <c r="C4" s="8" t="n">
        <f aca="false">C2*Assumptions!$C$5</f>
        <v>225000</v>
      </c>
      <c r="D4" s="8" t="n">
        <f aca="false">D2*Assumptions!$C$5</f>
        <v>228375</v>
      </c>
      <c r="E4" s="8" t="n">
        <f aca="false">E2*Assumptions!$C$5</f>
        <v>231800.625</v>
      </c>
      <c r="F4" s="8" t="n">
        <f aca="false">F2*Assumptions!$C$5</f>
        <v>235277.634375</v>
      </c>
      <c r="G4" s="8" t="n">
        <f aca="false">G2*Assumptions!$C$5</f>
        <v>238806.798890625</v>
      </c>
      <c r="H4" s="8" t="n">
        <f aca="false">H2*Assumptions!$C$5</f>
        <v>242388.900873984</v>
      </c>
      <c r="I4" s="8" t="n">
        <f aca="false">I2*Assumptions!$C$5</f>
        <v>246024.734387094</v>
      </c>
      <c r="J4" s="8" t="n">
        <f aca="false">J2*Assumptions!$C$5</f>
        <v>249715.1054029</v>
      </c>
      <c r="K4" s="8" t="n">
        <f aca="false">K2*Assumptions!$C$5</f>
        <v>253460.831983944</v>
      </c>
      <c r="L4" s="8" t="n">
        <f aca="false">L2*Assumptions!$C$5</f>
        <v>257262.744463703</v>
      </c>
      <c r="M4" s="8" t="n">
        <f aca="false">M2*Assumptions!$C$5</f>
        <v>261121.685630659</v>
      </c>
      <c r="N4" s="8" t="n">
        <f aca="false">N2*Assumptions!$C$5</f>
        <v>265038.510915118</v>
      </c>
    </row>
    <row r="5" customFormat="false" ht="15" hidden="false" customHeight="false" outlineLevel="0" collapsed="false">
      <c r="A5" s="7" t="s">
        <v>43</v>
      </c>
      <c r="B5" s="1" t="s">
        <v>44</v>
      </c>
      <c r="C5" s="8" t="n">
        <f aca="false">SUM(C3:C4)</f>
        <v>405000</v>
      </c>
      <c r="D5" s="8" t="n">
        <f aca="false">SUM(D3:D4)</f>
        <v>408375</v>
      </c>
      <c r="E5" s="8" t="n">
        <f aca="false">SUM(E3:E4)</f>
        <v>411800.625</v>
      </c>
      <c r="F5" s="8" t="n">
        <f aca="false">SUM(F3:F4)</f>
        <v>415277.634375</v>
      </c>
      <c r="G5" s="8" t="n">
        <f aca="false">SUM(G3:G4)</f>
        <v>418806.798890625</v>
      </c>
      <c r="H5" s="8" t="n">
        <f aca="false">SUM(H3:H4)</f>
        <v>422388.900873984</v>
      </c>
      <c r="I5" s="8" t="n">
        <f aca="false">SUM(I3:I4)</f>
        <v>426024.734387094</v>
      </c>
      <c r="J5" s="8" t="n">
        <f aca="false">SUM(J3:J4)</f>
        <v>429715.1054029</v>
      </c>
      <c r="K5" s="8" t="n">
        <f aca="false">SUM(K3:K4)</f>
        <v>433460.831983944</v>
      </c>
      <c r="L5" s="8" t="n">
        <f aca="false">SUM(L3:L4)</f>
        <v>437262.744463703</v>
      </c>
      <c r="M5" s="8" t="n">
        <f aca="false">SUM(M3:M4)</f>
        <v>441121.685630659</v>
      </c>
      <c r="N5" s="8" t="n">
        <f aca="false">SUM(N3:N4)</f>
        <v>445038.510915118</v>
      </c>
    </row>
    <row r="6" customFormat="false" ht="15" hidden="false" customHeight="false" outlineLevel="0" collapsed="false">
      <c r="A6" s="7" t="s">
        <v>45</v>
      </c>
      <c r="B6" s="1" t="s">
        <v>46</v>
      </c>
      <c r="C6" s="8" t="n">
        <f aca="false">C2-C5</f>
        <v>95000</v>
      </c>
      <c r="D6" s="8" t="n">
        <f aca="false">D2-D5</f>
        <v>99124.9999999999</v>
      </c>
      <c r="E6" s="8" t="n">
        <f aca="false">E2-E5</f>
        <v>103311.875</v>
      </c>
      <c r="F6" s="8" t="n">
        <f aca="false">F2-F5</f>
        <v>107561.553125</v>
      </c>
      <c r="G6" s="8" t="n">
        <f aca="false">G2-G5</f>
        <v>111874.976421875</v>
      </c>
      <c r="H6" s="8" t="n">
        <f aca="false">H2-H5</f>
        <v>116253.101068203</v>
      </c>
      <c r="I6" s="8" t="n">
        <f aca="false">I2-I5</f>
        <v>120696.897584226</v>
      </c>
      <c r="J6" s="8" t="n">
        <f aca="false">J2-J5</f>
        <v>125207.351047989</v>
      </c>
      <c r="K6" s="8" t="n">
        <f aca="false">K2-K5</f>
        <v>129785.461313709</v>
      </c>
      <c r="L6" s="8" t="n">
        <f aca="false">L2-L5</f>
        <v>134432.243233415</v>
      </c>
      <c r="M6" s="8" t="n">
        <f aca="false">M2-M5</f>
        <v>139148.726881916</v>
      </c>
      <c r="N6" s="8" t="n">
        <f aca="false">N2-N5</f>
        <v>143935.957785145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47</v>
      </c>
      <c r="B1" s="9" t="n">
        <f aca="false">SUM(Calc!C2:N2)</f>
        <v>6520605.7153845</v>
      </c>
    </row>
    <row r="2" customFormat="false" ht="15" hidden="false" customHeight="false" outlineLevel="0" collapsed="false">
      <c r="A2" s="1" t="s">
        <v>48</v>
      </c>
      <c r="B2" s="9" t="n">
        <f aca="false">SUM(Calc!C5:N5)</f>
        <v>5094272.57192303</v>
      </c>
    </row>
    <row r="3" customFormat="false" ht="15" hidden="false" customHeight="false" outlineLevel="0" collapsed="false">
      <c r="A3" s="1" t="s">
        <v>49</v>
      </c>
      <c r="B3" s="9" t="n">
        <f aca="false">SUM(Calc!C6:N6)</f>
        <v>1426333.14346148</v>
      </c>
    </row>
    <row r="5" customFormat="false" ht="15" hidden="false" customHeight="false" outlineLevel="0" collapsed="false">
      <c r="A5" s="1" t="s">
        <v>50</v>
      </c>
    </row>
    <row r="6" customFormat="false" ht="15" hidden="false" customHeight="false" outlineLevel="0" collapsed="false">
      <c r="B6" s="10" t="n">
        <v>0.4</v>
      </c>
      <c r="C6" s="10" t="n">
        <v>0.45</v>
      </c>
      <c r="D6" s="10" t="n">
        <v>0.5</v>
      </c>
      <c r="E6" s="10" t="n">
        <v>0.55</v>
      </c>
    </row>
    <row r="7" customFormat="false" ht="15" hidden="false" customHeight="false" outlineLevel="0" collapsed="false">
      <c r="A7" s="5" t="n">
        <v>0</v>
      </c>
      <c r="B7" s="11" t="n">
        <f aca="false">IF($A7=0,Assumptions!$C$2*Assumptions!$C$6,Assumptions!$C$2*((1+$A7)^Assumptions!$C$6-1)/$A7)*(1-B$6)-Assumptions!$C$4*Assumptions!$C$6</f>
        <v>1440000</v>
      </c>
      <c r="C7" s="11" t="n">
        <f aca="false">IF($A7=0,Assumptions!$C$2*Assumptions!$C$6,Assumptions!$C$2*((1+$A7)^Assumptions!$C$6-1)/$A7)*(1-C$6)-Assumptions!$C$4*Assumptions!$C$6</f>
        <v>1140000</v>
      </c>
      <c r="D7" s="11" t="n">
        <f aca="false">IF($A7=0,Assumptions!$C$2*Assumptions!$C$6,Assumptions!$C$2*((1+$A7)^Assumptions!$C$6-1)/$A7)*(1-D$6)-Assumptions!$C$4*Assumptions!$C$6</f>
        <v>840000</v>
      </c>
      <c r="E7" s="11" t="n">
        <f aca="false">IF($A7=0,Assumptions!$C$2*Assumptions!$C$6,Assumptions!$C$2*((1+$A7)^Assumptions!$C$6-1)/$A7)*(1-E$6)-Assumptions!$C$4*Assumptions!$C$6</f>
        <v>540000</v>
      </c>
    </row>
    <row r="8" customFormat="false" ht="15" hidden="false" customHeight="false" outlineLevel="0" collapsed="false">
      <c r="A8" s="5" t="n">
        <v>0.005</v>
      </c>
      <c r="B8" s="11" t="n">
        <f aca="false">IF($A8=0,Assumptions!$C$2*Assumptions!$C$6,Assumptions!$C$2*((1+$A8)^Assumptions!$C$6-1)/$A8)*(1-B$6)-Assumptions!$C$4*Assumptions!$C$6</f>
        <v>1540668.7118699</v>
      </c>
      <c r="C8" s="11" t="n">
        <f aca="false">IF($A8=0,Assumptions!$C$2*Assumptions!$C$6,Assumptions!$C$2*((1+$A8)^Assumptions!$C$6-1)/$A8)*(1-C$6)-Assumptions!$C$4*Assumptions!$C$6</f>
        <v>1232279.65254741</v>
      </c>
      <c r="D8" s="11" t="n">
        <f aca="false">IF($A8=0,Assumptions!$C$2*Assumptions!$C$6,Assumptions!$C$2*((1+$A8)^Assumptions!$C$6-1)/$A8)*(1-D$6)-Assumptions!$C$4*Assumptions!$C$6</f>
        <v>923890.593224914</v>
      </c>
      <c r="E8" s="11" t="n">
        <f aca="false">IF($A8=0,Assumptions!$C$2*Assumptions!$C$6,Assumptions!$C$2*((1+$A8)^Assumptions!$C$6-1)/$A8)*(1-E$6)-Assumptions!$C$4*Assumptions!$C$6</f>
        <v>615501.533902422</v>
      </c>
    </row>
    <row r="9" customFormat="false" ht="15" hidden="false" customHeight="false" outlineLevel="0" collapsed="false">
      <c r="A9" s="5" t="n">
        <v>0.01</v>
      </c>
      <c r="B9" s="11" t="n">
        <f aca="false">IF($A9=0,Assumptions!$C$2*Assumptions!$C$6,Assumptions!$C$2*((1+$A9)^Assumptions!$C$6-1)/$A9)*(1-B$6)-Assumptions!$C$4*Assumptions!$C$6</f>
        <v>1644750.90395909</v>
      </c>
      <c r="C9" s="11" t="n">
        <f aca="false">IF($A9=0,Assumptions!$C$2*Assumptions!$C$6,Assumptions!$C$2*((1+$A9)^Assumptions!$C$6-1)/$A9)*(1-C$6)-Assumptions!$C$4*Assumptions!$C$6</f>
        <v>1327688.32862917</v>
      </c>
      <c r="D9" s="11" t="n">
        <f aca="false">IF($A9=0,Assumptions!$C$2*Assumptions!$C$6,Assumptions!$C$2*((1+$A9)^Assumptions!$C$6-1)/$A9)*(1-D$6)-Assumptions!$C$4*Assumptions!$C$6</f>
        <v>1010625.75329924</v>
      </c>
      <c r="E9" s="11" t="n">
        <f aca="false">IF($A9=0,Assumptions!$C$2*Assumptions!$C$6,Assumptions!$C$2*((1+$A9)^Assumptions!$C$6-1)/$A9)*(1-E$6)-Assumptions!$C$4*Assumptions!$C$6</f>
        <v>693563.177969319</v>
      </c>
    </row>
    <row r="10" customFormat="false" ht="15" hidden="false" customHeight="false" outlineLevel="0" collapsed="false">
      <c r="A10" s="5" t="n">
        <v>0.015</v>
      </c>
      <c r="B10" s="11" t="n">
        <f aca="false">IF($A10=0,Assumptions!$C$2*Assumptions!$C$6,Assumptions!$C$2*((1+$A10)^Assumptions!$C$6-1)/$A10)*(1-B$6)-Assumptions!$C$4*Assumptions!$C$6</f>
        <v>1752363.42923068</v>
      </c>
      <c r="C10" s="11" t="n">
        <f aca="false">IF($A10=0,Assumptions!$C$2*Assumptions!$C$6,Assumptions!$C$2*((1+$A10)^Assumptions!$C$6-1)/$A10)*(1-C$6)-Assumptions!$C$4*Assumptions!$C$6</f>
        <v>1426333.14346146</v>
      </c>
      <c r="D10" s="11" t="n">
        <f aca="false">IF($A10=0,Assumptions!$C$2*Assumptions!$C$6,Assumptions!$C$2*((1+$A10)^Assumptions!$C$6-1)/$A10)*(1-D$6)-Assumptions!$C$4*Assumptions!$C$6</f>
        <v>1100302.85769223</v>
      </c>
      <c r="E10" s="11" t="n">
        <f aca="false">IF($A10=0,Assumptions!$C$2*Assumptions!$C$6,Assumptions!$C$2*((1+$A10)^Assumptions!$C$6-1)/$A10)*(1-E$6)-Assumptions!$C$4*Assumptions!$C$6</f>
        <v>774272.571923009</v>
      </c>
    </row>
    <row r="11" customFormat="false" ht="15" hidden="false" customHeight="false" outlineLevel="0" collapsed="false">
      <c r="A11" s="5" t="n">
        <v>0.02</v>
      </c>
      <c r="B11" s="11" t="n">
        <f aca="false">IF($A11=0,Assumptions!$C$2*Assumptions!$C$6,Assumptions!$C$2*((1+$A11)^Assumptions!$C$6-1)/$A11)*(1-B$6)-Assumptions!$C$4*Assumptions!$C$6</f>
        <v>1863626.91843818</v>
      </c>
      <c r="C11" s="11" t="n">
        <f aca="false">IF($A11=0,Assumptions!$C$2*Assumptions!$C$6,Assumptions!$C$2*((1+$A11)^Assumptions!$C$6-1)/$A11)*(1-C$6)-Assumptions!$C$4*Assumptions!$C$6</f>
        <v>1528324.675235</v>
      </c>
      <c r="D11" s="11" t="n">
        <f aca="false">IF($A11=0,Assumptions!$C$2*Assumptions!$C$6,Assumptions!$C$2*((1+$A11)^Assumptions!$C$6-1)/$A11)*(1-D$6)-Assumptions!$C$4*Assumptions!$C$6</f>
        <v>1193022.43203182</v>
      </c>
      <c r="E11" s="11" t="n">
        <f aca="false">IF($A11=0,Assumptions!$C$2*Assumptions!$C$6,Assumptions!$C$2*((1+$A11)^Assumptions!$C$6-1)/$A11)*(1-E$6)-Assumptions!$C$4*Assumptions!$C$6</f>
        <v>857720.188828636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2026-09-06T07:10:50Z</dcterms:created>
  <dc:creator>openpyxl</dc:creator>
  <dc:description/>
  <dc:language>en-US</dc:language>
  <cp:lastModifiedBy/>
  <dcterms:modified xsi:type="dcterms:W3CDTF">2026-09-06T07:10:50Z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