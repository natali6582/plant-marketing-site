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<sst xmlns="http://schemas.openxmlformats.org/spreadsheetml/2006/main" count="89" uniqueCount="71">
  <si>
    <r>
      <rPr>
        <sz val="11"/>
        <color theme="1"/>
        <rFont val="FreeSans"/>
        <family val="2"/>
        <charset val="1"/>
      </rPr>
      <t xml:space="preserve">מודל </t>
    </r>
    <r>
      <rPr>
        <sz val="11"/>
        <color theme="1"/>
        <rFont val="Calibri"/>
        <family val="2"/>
        <charset val="1"/>
      </rPr>
      <t xml:space="preserve">DCF — </t>
    </r>
    <r>
      <rPr>
        <sz val="11"/>
        <color theme="1"/>
        <rFont val="FreeSans"/>
        <family val="2"/>
        <charset val="1"/>
      </rPr>
      <t xml:space="preserve">דוגמה</t>
    </r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</si>
  <si>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Assumptions!C2:C11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--N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</si>
  <si>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</si>
  <si>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דטרמיניסטי — ראה </t>
    </r>
    <r>
      <rPr>
        <sz val="11"/>
        <color theme="1"/>
        <rFont val="Calibri"/>
        <family val="2"/>
        <charset val="1"/>
      </rPr>
      <t xml:space="preserve">rebuild_compare</t>
    </r>
  </si>
  <si>
    <r>
      <rPr>
        <sz val="11"/>
        <color theme="1"/>
        <rFont val="FreeSans"/>
        <family val="2"/>
        <charset val="1"/>
      </rPr>
      <t xml:space="preserve">המודל מחשב בלבד — אינו ייעוץ השקעות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</si>
  <si>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</si>
  <si>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</si>
  <si>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</si>
  <si>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</si>
  <si>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</si>
  <si>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rev0</t>
  </si>
  <si>
    <t xml:space="preserve">הכנסות שנת בסיס</t>
  </si>
  <si>
    <t xml:space="preserve">₪</t>
  </si>
  <si>
    <t xml:space="preserve">המשתמש</t>
  </si>
  <si>
    <t xml:space="preserve">growth</t>
  </si>
  <si>
    <t xml:space="preserve">צמיחת הכנסות</t>
  </si>
  <si>
    <t xml:space="preserve">%</t>
  </si>
  <si>
    <t xml:space="preserve">margin</t>
  </si>
  <si>
    <r>
      <rPr>
        <sz val="11"/>
        <color theme="1"/>
        <rFont val="FreeSans"/>
        <family val="2"/>
        <charset val="1"/>
      </rPr>
      <t xml:space="preserve">מרווח </t>
    </r>
    <r>
      <rPr>
        <sz val="11"/>
        <color theme="1"/>
        <rFont val="Calibri"/>
        <family val="2"/>
        <charset val="1"/>
      </rPr>
      <t xml:space="preserve">EBIT</t>
    </r>
  </si>
  <si>
    <t xml:space="preserve">tax_corp</t>
  </si>
  <si>
    <t xml:space="preserve">מס חברות</t>
  </si>
  <si>
    <t xml:space="preserve">dep_pct</t>
  </si>
  <si>
    <r>
      <rPr>
        <sz val="11"/>
        <color theme="1"/>
        <rFont val="FreeSans"/>
        <family val="2"/>
        <charset val="1"/>
      </rPr>
      <t xml:space="preserve">פחת 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FreeSans"/>
        <family val="2"/>
        <charset val="1"/>
      </rPr>
      <t xml:space="preserve">מהכנסות</t>
    </r>
  </si>
  <si>
    <t xml:space="preserve">capex_pct</t>
  </si>
  <si>
    <r>
      <rPr>
        <sz val="11"/>
        <color theme="1"/>
        <rFont val="Calibri"/>
        <family val="2"/>
        <charset val="1"/>
      </rPr>
      <t xml:space="preserve">CapEx % </t>
    </r>
    <r>
      <rPr>
        <sz val="11"/>
        <color theme="1"/>
        <rFont val="FreeSans"/>
        <family val="2"/>
        <charset val="1"/>
      </rPr>
      <t xml:space="preserve">מהכנסות</t>
    </r>
  </si>
  <si>
    <t xml:space="preserve">nwc_pct</t>
  </si>
  <si>
    <r>
      <rPr>
        <sz val="11"/>
        <color theme="1"/>
        <rFont val="FreeSans"/>
        <family val="2"/>
        <charset val="1"/>
      </rPr>
      <t xml:space="preserve">הון חוזר 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FreeSans"/>
        <family val="2"/>
        <charset val="1"/>
      </rPr>
      <t xml:space="preserve">מהכנסות</t>
    </r>
  </si>
  <si>
    <t xml:space="preserve">wacc</t>
  </si>
  <si>
    <t xml:space="preserve">WACC</t>
  </si>
  <si>
    <t xml:space="preserve">הנחה — לאישור</t>
  </si>
  <si>
    <t xml:space="preserve">g_terminal</t>
  </si>
  <si>
    <t xml:space="preserve">צמיחה טרמינלית</t>
  </si>
  <si>
    <t xml:space="preserve">investment</t>
  </si>
  <si>
    <t xml:space="preserve">השקעה ראשונית</t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</si>
  <si>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</si>
  <si>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</si>
  <si>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שנים</t>
  </si>
  <si>
    <t xml:space="preserve">CLI --N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</si>
  <si>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</si>
  <si>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</si>
  <si>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</si>
  <si>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</si>
  <si>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</si>
  <si>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</si>
  <si>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revenue</t>
  </si>
  <si>
    <t xml:space="preserve">הכנסות</t>
  </si>
  <si>
    <t xml:space="preserve">ebit</t>
  </si>
  <si>
    <t xml:space="preserve">EBIT</t>
  </si>
  <si>
    <t xml:space="preserve">tax</t>
  </si>
  <si>
    <t xml:space="preserve">מס</t>
  </si>
  <si>
    <t xml:space="preserve">nopat</t>
  </si>
  <si>
    <t xml:space="preserve">NOPAT</t>
  </si>
  <si>
    <t xml:space="preserve">dep</t>
  </si>
  <si>
    <t xml:space="preserve">פחת</t>
  </si>
  <si>
    <t xml:space="preserve">capex</t>
  </si>
  <si>
    <t xml:space="preserve">CapEx</t>
  </si>
  <si>
    <t xml:space="preserve">nwc</t>
  </si>
  <si>
    <t xml:space="preserve">הון חוזר</t>
  </si>
  <si>
    <t xml:space="preserve">dnwc</t>
  </si>
  <si>
    <t xml:space="preserve">שינוי בהון חוזר</t>
  </si>
  <si>
    <t xml:space="preserve">fcf</t>
  </si>
  <si>
    <t xml:space="preserve">FCF</t>
  </si>
  <si>
    <t xml:space="preserve">df</t>
  </si>
  <si>
    <t xml:space="preserve">מקדם היוון</t>
  </si>
  <si>
    <t xml:space="preserve">pv</t>
  </si>
  <si>
    <t xml:space="preserve">ערך נוכחי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</si>
  <si>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ערך נוכחי של התזרימים</t>
    </r>
  </si>
  <si>
    <r>
      <rPr>
        <sz val="11"/>
        <color theme="1"/>
        <rFont val="FreeSans"/>
        <family val="2"/>
        <charset val="1"/>
      </rPr>
      <t xml:space="preserve">ערך טרמינלי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מהוון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</si>
  <si>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NPV (</t>
    </r>
    <r>
      <rPr>
        <sz val="11"/>
        <color theme="1"/>
        <rFont val="FreeSans"/>
        <family val="2"/>
        <charset val="1"/>
      </rPr>
      <t xml:space="preserve">כולל השקעה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</si>
  <si>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IRR (</t>
    </r>
    <r>
      <rPr>
        <sz val="11"/>
        <color theme="1"/>
        <rFont val="FreeSans"/>
        <family val="2"/>
        <charset val="1"/>
      </rPr>
      <t xml:space="preserve">ללא ערך טרמינלי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</si>
  <si>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NPV — WACC 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צמיחה טרמינלית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</si>
</sst>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;\(#,##0\);\-"/>
    <numFmt numFmtId="167" formatCode="0.000"/>
    <numFmt numFmtId="168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4.9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10000000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4" t="n">
        <v>0.08</v>
      </c>
      <c r="D3" s="2" t="s">
        <v>16</v>
      </c>
      <c r="E3" s="1" t="s">
        <v>13</v>
      </c>
    </row>
    <row r="4" customFormat="false" ht="15" hidden="false" customHeight="false" outlineLevel="0" collapsed="false">
      <c r="A4" s="2" t="s">
        <v>17</v>
      </c>
      <c r="B4" s="1" t="s">
        <v>18</v>
      </c>
      <c r="C4" s="4" t="n">
        <v>0.2</v>
      </c>
      <c r="D4" s="2" t="s">
        <v>16</v>
      </c>
      <c r="E4" s="1" t="s">
        <v>13</v>
      </c>
    </row>
    <row r="5" customFormat="false" ht="15" hidden="false" customHeight="false" outlineLevel="0" collapsed="false">
      <c r="A5" s="2" t="s">
        <v>19</v>
      </c>
      <c r="B5" s="1" t="s">
        <v>20</v>
      </c>
      <c r="C5" s="4" t="n">
        <v>0.23</v>
      </c>
      <c r="D5" s="2" t="s">
        <v>16</v>
      </c>
      <c r="E5" s="1" t="s">
        <v>13</v>
      </c>
    </row>
    <row r="6" customFormat="false" ht="15" hidden="false" customHeight="false" outlineLevel="0" collapsed="false">
      <c r="A6" s="2" t="s">
        <v>21</v>
      </c>
      <c r="B6" s="1" t="s">
        <v>22</v>
      </c>
      <c r="C6" s="4" t="n">
        <v>0.04</v>
      </c>
      <c r="D6" s="2" t="s">
        <v>16</v>
      </c>
      <c r="E6" s="1" t="s">
        <v>13</v>
      </c>
    </row>
    <row r="7" customFormat="false" ht="15" hidden="false" customHeight="false" outlineLevel="0" collapsed="false">
      <c r="A7" s="2" t="s">
        <v>23</v>
      </c>
      <c r="B7" s="2" t="s">
        <v>24</v>
      </c>
      <c r="C7" s="4" t="n">
        <v>0.05</v>
      </c>
      <c r="D7" s="2" t="s">
        <v>16</v>
      </c>
      <c r="E7" s="1" t="s">
        <v>13</v>
      </c>
    </row>
    <row r="8" customFormat="false" ht="15" hidden="false" customHeight="false" outlineLevel="0" collapsed="false">
      <c r="A8" s="2" t="s">
        <v>25</v>
      </c>
      <c r="B8" s="1" t="s">
        <v>26</v>
      </c>
      <c r="C8" s="4" t="n">
        <v>0.1</v>
      </c>
      <c r="D8" s="2" t="s">
        <v>16</v>
      </c>
      <c r="E8" s="1" t="s">
        <v>13</v>
      </c>
    </row>
    <row r="9" customFormat="false" ht="15" hidden="false" customHeight="false" outlineLevel="0" collapsed="false">
      <c r="A9" s="2" t="s">
        <v>27</v>
      </c>
      <c r="B9" s="2" t="s">
        <v>28</v>
      </c>
      <c r="C9" s="5" t="n">
        <v>0.1</v>
      </c>
      <c r="D9" s="2" t="s">
        <v>16</v>
      </c>
      <c r="E9" s="1" t="s">
        <v>29</v>
      </c>
    </row>
    <row r="10" customFormat="false" ht="15" hidden="false" customHeight="false" outlineLevel="0" collapsed="false">
      <c r="A10" s="2" t="s">
        <v>30</v>
      </c>
      <c r="B10" s="1" t="s">
        <v>31</v>
      </c>
      <c r="C10" s="5" t="n">
        <v>0.02</v>
      </c>
      <c r="D10" s="2" t="s">
        <v>16</v>
      </c>
      <c r="E10" s="1" t="s">
        <v>29</v>
      </c>
    </row>
    <row r="11" customFormat="false" ht="15" hidden="false" customHeight="false" outlineLevel="0" collapsed="false">
      <c r="A11" s="2" t="s">
        <v>32</v>
      </c>
      <c r="B11" s="1" t="s">
        <v>33</v>
      </c>
      <c r="C11" s="3" t="n">
        <v>8000000</v>
      </c>
      <c r="D11" s="2" t="s">
        <v>12</v>
      </c>
      <c r="E11" s="1" t="s">
        <v>13</v>
      </c>
    </row>
    <row r="12" customFormat="false" ht="15" hidden="false" customHeight="false" outlineLevel="0" collapsed="false">
      <c r="A12" s="2" t="s">
        <v>34</v>
      </c>
      <c r="B12" s="1" t="s">
        <v>35</v>
      </c>
      <c r="C12" s="6" t="n">
        <v>5</v>
      </c>
      <c r="D12" s="1" t="s">
        <v>36</v>
      </c>
      <c r="E12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</row>
    <row r="2" customFormat="false" ht="15" hidden="false" customHeight="false" outlineLevel="0" collapsed="false">
      <c r="A2" s="7" t="s">
        <v>44</v>
      </c>
      <c r="B2" s="1" t="s">
        <v>45</v>
      </c>
      <c r="C2" s="8" t="n">
        <f aca="false">Assumptions!$C$2</f>
        <v>10000000</v>
      </c>
      <c r="D2" s="8" t="n">
        <f aca="false">C2*(1+Assumptions!$C$3)</f>
        <v>10800000</v>
      </c>
      <c r="E2" s="8" t="n">
        <f aca="false">D2*(1+Assumptions!$C$3)</f>
        <v>11664000</v>
      </c>
      <c r="F2" s="8" t="n">
        <f aca="false">E2*(1+Assumptions!$C$3)</f>
        <v>12597120</v>
      </c>
      <c r="G2" s="8" t="n">
        <f aca="false">F2*(1+Assumptions!$C$3)</f>
        <v>13604889.6</v>
      </c>
      <c r="H2" s="8" t="n">
        <f aca="false">G2*(1+Assumptions!$C$3)</f>
        <v>14693280.768</v>
      </c>
    </row>
    <row r="3" customFormat="false" ht="15" hidden="false" customHeight="false" outlineLevel="0" collapsed="false">
      <c r="A3" s="7" t="s">
        <v>46</v>
      </c>
      <c r="B3" s="2" t="s">
        <v>47</v>
      </c>
      <c r="C3" s="8" t="n">
        <f aca="false">C2*Assumptions!$C$4</f>
        <v>2000000</v>
      </c>
      <c r="D3" s="8" t="n">
        <f aca="false">D2*Assumptions!$C$4</f>
        <v>2160000</v>
      </c>
      <c r="E3" s="8" t="n">
        <f aca="false">E2*Assumptions!$C$4</f>
        <v>2332800</v>
      </c>
      <c r="F3" s="8" t="n">
        <f aca="false">F2*Assumptions!$C$4</f>
        <v>2519424</v>
      </c>
      <c r="G3" s="8" t="n">
        <f aca="false">G2*Assumptions!$C$4</f>
        <v>2720977.92</v>
      </c>
      <c r="H3" s="8" t="n">
        <f aca="false">H2*Assumptions!$C$4</f>
        <v>2938656.1536</v>
      </c>
    </row>
    <row r="4" customFormat="false" ht="15" hidden="false" customHeight="false" outlineLevel="0" collapsed="false">
      <c r="A4" s="7" t="s">
        <v>48</v>
      </c>
      <c r="B4" s="1" t="s">
        <v>49</v>
      </c>
      <c r="C4" s="8" t="n">
        <f aca="false">C3*Assumptions!$C$5</f>
        <v>460000</v>
      </c>
      <c r="D4" s="8" t="n">
        <f aca="false">D3*Assumptions!$C$5</f>
        <v>496800</v>
      </c>
      <c r="E4" s="8" t="n">
        <f aca="false">E3*Assumptions!$C$5</f>
        <v>536544</v>
      </c>
      <c r="F4" s="8" t="n">
        <f aca="false">F3*Assumptions!$C$5</f>
        <v>579467.52</v>
      </c>
      <c r="G4" s="8" t="n">
        <f aca="false">G3*Assumptions!$C$5</f>
        <v>625824.9216</v>
      </c>
      <c r="H4" s="8" t="n">
        <f aca="false">H3*Assumptions!$C$5</f>
        <v>675890.915328</v>
      </c>
    </row>
    <row r="5" customFormat="false" ht="15" hidden="false" customHeight="false" outlineLevel="0" collapsed="false">
      <c r="A5" s="7" t="s">
        <v>50</v>
      </c>
      <c r="B5" s="2" t="s">
        <v>51</v>
      </c>
      <c r="C5" s="8" t="n">
        <f aca="false">C3-C4</f>
        <v>1540000</v>
      </c>
      <c r="D5" s="8" t="n">
        <f aca="false">D3-D4</f>
        <v>1663200</v>
      </c>
      <c r="E5" s="8" t="n">
        <f aca="false">E3-E4</f>
        <v>1796256</v>
      </c>
      <c r="F5" s="8" t="n">
        <f aca="false">F3-F4</f>
        <v>1939956.48</v>
      </c>
      <c r="G5" s="8" t="n">
        <f aca="false">G3-G4</f>
        <v>2095152.9984</v>
      </c>
      <c r="H5" s="8" t="n">
        <f aca="false">H3-H4</f>
        <v>2262765.238272</v>
      </c>
    </row>
    <row r="6" customFormat="false" ht="15" hidden="false" customHeight="false" outlineLevel="0" collapsed="false">
      <c r="A6" s="7" t="s">
        <v>52</v>
      </c>
      <c r="B6" s="1" t="s">
        <v>53</v>
      </c>
      <c r="C6" s="8" t="n">
        <f aca="false">C2*Assumptions!$C$6</f>
        <v>400000</v>
      </c>
      <c r="D6" s="8" t="n">
        <f aca="false">D2*Assumptions!$C$6</f>
        <v>432000</v>
      </c>
      <c r="E6" s="8" t="n">
        <f aca="false">E2*Assumptions!$C$6</f>
        <v>466560</v>
      </c>
      <c r="F6" s="8" t="n">
        <f aca="false">F2*Assumptions!$C$6</f>
        <v>503884.8</v>
      </c>
      <c r="G6" s="8" t="n">
        <f aca="false">G2*Assumptions!$C$6</f>
        <v>544195.584</v>
      </c>
      <c r="H6" s="8" t="n">
        <f aca="false">H2*Assumptions!$C$6</f>
        <v>587731.23072</v>
      </c>
    </row>
    <row r="7" customFormat="false" ht="15" hidden="false" customHeight="false" outlineLevel="0" collapsed="false">
      <c r="A7" s="7" t="s">
        <v>54</v>
      </c>
      <c r="B7" s="2" t="s">
        <v>55</v>
      </c>
      <c r="C7" s="8" t="n">
        <f aca="false">C2*Assumptions!$C$7</f>
        <v>500000</v>
      </c>
      <c r="D7" s="8" t="n">
        <f aca="false">D2*Assumptions!$C$7</f>
        <v>540000</v>
      </c>
      <c r="E7" s="8" t="n">
        <f aca="false">E2*Assumptions!$C$7</f>
        <v>583200</v>
      </c>
      <c r="F7" s="8" t="n">
        <f aca="false">F2*Assumptions!$C$7</f>
        <v>629856</v>
      </c>
      <c r="G7" s="8" t="n">
        <f aca="false">G2*Assumptions!$C$7</f>
        <v>680244.48</v>
      </c>
      <c r="H7" s="8" t="n">
        <f aca="false">H2*Assumptions!$C$7</f>
        <v>734664.0384</v>
      </c>
    </row>
    <row r="8" customFormat="false" ht="15" hidden="false" customHeight="false" outlineLevel="0" collapsed="false">
      <c r="A8" s="7" t="s">
        <v>56</v>
      </c>
      <c r="B8" s="1" t="s">
        <v>57</v>
      </c>
      <c r="C8" s="8" t="n">
        <f aca="false">C2*Assumptions!$C$8</f>
        <v>1000000</v>
      </c>
      <c r="D8" s="8" t="n">
        <f aca="false">D2*Assumptions!$C$8</f>
        <v>1080000</v>
      </c>
      <c r="E8" s="8" t="n">
        <f aca="false">E2*Assumptions!$C$8</f>
        <v>1166400</v>
      </c>
      <c r="F8" s="8" t="n">
        <f aca="false">F2*Assumptions!$C$8</f>
        <v>1259712</v>
      </c>
      <c r="G8" s="8" t="n">
        <f aca="false">G2*Assumptions!$C$8</f>
        <v>1360488.96</v>
      </c>
      <c r="H8" s="8" t="n">
        <f aca="false">H2*Assumptions!$C$8</f>
        <v>1469328.0768</v>
      </c>
    </row>
    <row r="9" customFormat="false" ht="15" hidden="false" customHeight="false" outlineLevel="0" collapsed="false">
      <c r="A9" s="7" t="s">
        <v>58</v>
      </c>
      <c r="B9" s="1" t="s">
        <v>59</v>
      </c>
      <c r="C9" s="8" t="n">
        <f aca="false">0*C8</f>
        <v>0</v>
      </c>
      <c r="D9" s="8" t="n">
        <f aca="false">D8-C8</f>
        <v>80000</v>
      </c>
      <c r="E9" s="8" t="n">
        <f aca="false">E8-D8</f>
        <v>86400</v>
      </c>
      <c r="F9" s="8" t="n">
        <f aca="false">F8-E8</f>
        <v>93312</v>
      </c>
      <c r="G9" s="8" t="n">
        <f aca="false">G8-F8</f>
        <v>100776.96</v>
      </c>
      <c r="H9" s="8" t="n">
        <f aca="false">H8-G8</f>
        <v>108839.1168</v>
      </c>
    </row>
    <row r="10" customFormat="false" ht="15" hidden="false" customHeight="false" outlineLevel="0" collapsed="false">
      <c r="A10" s="7" t="s">
        <v>60</v>
      </c>
      <c r="B10" s="2" t="s">
        <v>61</v>
      </c>
      <c r="C10" s="8" t="n">
        <f aca="false">-Assumptions!$C$11</f>
        <v>-8000000</v>
      </c>
      <c r="D10" s="8" t="n">
        <f aca="false">D5+D6-D7-D9</f>
        <v>1475200</v>
      </c>
      <c r="E10" s="8" t="n">
        <f aca="false">E5+E6-E7-E9</f>
        <v>1593216</v>
      </c>
      <c r="F10" s="8" t="n">
        <f aca="false">F5+F6-F7-F9</f>
        <v>1720673.28</v>
      </c>
      <c r="G10" s="8" t="n">
        <f aca="false">G5+G6-G7-G9</f>
        <v>1858327.1424</v>
      </c>
      <c r="H10" s="8" t="n">
        <f aca="false">H5+H6-H7-H9</f>
        <v>2006993.313792</v>
      </c>
    </row>
    <row r="11" customFormat="false" ht="15" hidden="false" customHeight="false" outlineLevel="0" collapsed="false">
      <c r="A11" s="7" t="s">
        <v>62</v>
      </c>
      <c r="B11" s="1" t="s">
        <v>63</v>
      </c>
      <c r="C11" s="9" t="n">
        <f aca="false">1/(1+Assumptions!$C$9)^C$1</f>
        <v>1</v>
      </c>
      <c r="D11" s="9" t="n">
        <f aca="false">1/(1+Assumptions!$C$9)^D$1</f>
        <v>0.909090909090909</v>
      </c>
      <c r="E11" s="9" t="n">
        <f aca="false">1/(1+Assumptions!$C$9)^E$1</f>
        <v>0.826446280991735</v>
      </c>
      <c r="F11" s="9" t="n">
        <f aca="false">1/(1+Assumptions!$C$9)^F$1</f>
        <v>0.751314800901578</v>
      </c>
      <c r="G11" s="9" t="n">
        <f aca="false">1/(1+Assumptions!$C$9)^G$1</f>
        <v>0.683013455365071</v>
      </c>
      <c r="H11" s="9" t="n">
        <f aca="false">1/(1+Assumptions!$C$9)^H$1</f>
        <v>0.620921323059155</v>
      </c>
    </row>
    <row r="12" customFormat="false" ht="15" hidden="false" customHeight="false" outlineLevel="0" collapsed="false">
      <c r="A12" s="7" t="s">
        <v>64</v>
      </c>
      <c r="B12" s="1" t="s">
        <v>65</v>
      </c>
      <c r="C12" s="8" t="n">
        <f aca="false">C10*C11</f>
        <v>-8000000</v>
      </c>
      <c r="D12" s="8" t="n">
        <f aca="false">D10*D11</f>
        <v>1341090.90909091</v>
      </c>
      <c r="E12" s="8" t="n">
        <f aca="false">E10*E11</f>
        <v>1316707.43801653</v>
      </c>
      <c r="F12" s="8" t="n">
        <f aca="false">F10*F11</f>
        <v>1292767.30277986</v>
      </c>
      <c r="G12" s="8" t="n">
        <f aca="false">G10*G11</f>
        <v>1269262.44272932</v>
      </c>
      <c r="H12" s="8" t="n">
        <f aca="false">H10*H11</f>
        <v>1246184.94377061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66</v>
      </c>
      <c r="B1" s="10" t="n">
        <f aca="false">SUM(Calc!C12:H12)</f>
        <v>-1533986.96361277</v>
      </c>
    </row>
    <row r="2" customFormat="false" ht="15" hidden="false" customHeight="false" outlineLevel="0" collapsed="false">
      <c r="A2" s="1" t="s">
        <v>67</v>
      </c>
      <c r="B2" s="10" t="n">
        <f aca="false">IF(Assumptions!$C$9&gt;Assumptions!$C$10,Calc!H10*(1+Assumptions!$C$10)/(Assumptions!$C$9-Assumptions!$C$10)*Calc!H11,NA())</f>
        <v>15888858.0330752</v>
      </c>
    </row>
    <row r="3" customFormat="false" ht="15" hidden="false" customHeight="false" outlineLevel="0" collapsed="false">
      <c r="A3" s="2" t="s">
        <v>68</v>
      </c>
      <c r="B3" s="10" t="n">
        <f aca="false">B1+B2</f>
        <v>14354871.0694625</v>
      </c>
    </row>
    <row r="4" customFormat="false" ht="15" hidden="false" customHeight="false" outlineLevel="0" collapsed="false">
      <c r="A4" s="2" t="s">
        <v>69</v>
      </c>
      <c r="B4" s="11" t="n">
        <f aca="false">IRR(Calc!C10:H10)</f>
        <v>0.0254507071555085</v>
      </c>
    </row>
    <row r="6" customFormat="false" ht="15" hidden="false" customHeight="false" outlineLevel="0" collapsed="false">
      <c r="A6" s="1" t="s">
        <v>70</v>
      </c>
    </row>
    <row r="7" customFormat="false" ht="15" hidden="false" customHeight="false" outlineLevel="0" collapsed="false">
      <c r="B7" s="4" t="n">
        <v>0</v>
      </c>
      <c r="C7" s="4" t="n">
        <v>0.01</v>
      </c>
      <c r="D7" s="4" t="n">
        <v>0.02</v>
      </c>
      <c r="E7" s="4" t="n">
        <v>0.03</v>
      </c>
    </row>
    <row r="8" customFormat="false" ht="15" hidden="false" customHeight="false" outlineLevel="0" collapsed="false">
      <c r="A8" s="4" t="n">
        <v>0.08</v>
      </c>
      <c r="B8" s="12" t="n">
        <f aca="false">IF($A8&gt;B$7,SUMPRODUCT(Calc!$C$10:$H$10/(1+$A8)^Calc!$C$1:$H$1)+Calc!$H$10*(1+B$7)/($A8-B$7)/(1+$A8)^Assumptions!$C$12,NA())</f>
        <v>15903703.7037037</v>
      </c>
      <c r="C8" s="12" t="n">
        <f aca="false">IF($A8&gt;C$7,SUMPRODUCT(Calc!$C$10:$H$10/(1+$A8)^Calc!$C$1:$H$1)+Calc!$H$10*(1+C$7)/($A8-C$7)/(1+$A8)^Assumptions!$C$12,NA())</f>
        <v>18537989.4179894</v>
      </c>
      <c r="D8" s="12" t="n">
        <f aca="false">IF($A8&gt;D$7,SUMPRODUCT(Calc!$C$10:$H$10/(1+$A8)^Calc!$C$1:$H$1)+Calc!$H$10*(1+D$7)/($A8-D$7)/(1+$A8)^Assumptions!$C$12,NA())</f>
        <v>22050370.3703704</v>
      </c>
      <c r="E8" s="12" t="n">
        <f aca="false">IF($A8&gt;E$7,SUMPRODUCT(Calc!$C$10:$H$10/(1+$A8)^Calc!$C$1:$H$1)+Calc!$H$10*(1+E$7)/($A8-E$7)/(1+$A8)^Assumptions!$C$12,NA())</f>
        <v>26967703.7037037</v>
      </c>
    </row>
    <row r="9" customFormat="false" ht="15" hidden="false" customHeight="false" outlineLevel="0" collapsed="false">
      <c r="A9" s="4" t="n">
        <v>0.09</v>
      </c>
      <c r="B9" s="12" t="n">
        <f aca="false">IF($A9&gt;B$7,SUMPRODUCT(Calc!$C$10:$H$10/(1+$A9)^Calc!$C$1:$H$1)+Calc!$H$10*(1+B$7)/($A9-B$7)/(1+$A9)^Assumptions!$C$12,NA())</f>
        <v>13137363.3840413</v>
      </c>
      <c r="C9" s="12" t="n">
        <f aca="false">IF($A9&gt;C$7,SUMPRODUCT(Calc!$C$10:$H$10/(1+$A9)^Calc!$C$1:$H$1)+Calc!$H$10*(1+C$7)/($A9-C$7)/(1+$A9)^Assumptions!$C$12,NA())</f>
        <v>15112092.0811656</v>
      </c>
      <c r="D9" s="12" t="n">
        <f aca="false">IF($A9&gt;D$7,SUMPRODUCT(Calc!$C$10:$H$10/(1+$A9)^Calc!$C$1:$H$1)+Calc!$H$10*(1+D$7)/($A9-D$7)/(1+$A9)^Assumptions!$C$12,NA())</f>
        <v>17651028.9774684</v>
      </c>
      <c r="E9" s="12" t="n">
        <f aca="false">IF($A9&gt;E$7,SUMPRODUCT(Calc!$C$10:$H$10/(1+$A9)^Calc!$C$1:$H$1)+Calc!$H$10*(1+E$7)/($A9-E$7)/(1+$A9)^Assumptions!$C$12,NA())</f>
        <v>21036278.1725387</v>
      </c>
    </row>
    <row r="10" customFormat="false" ht="15" hidden="false" customHeight="false" outlineLevel="0" collapsed="false">
      <c r="A10" s="4" t="n">
        <v>0.1</v>
      </c>
      <c r="B10" s="12" t="n">
        <f aca="false">IF($A10&gt;B$7,SUMPRODUCT(Calc!$C$10:$H$10/(1+$A10)^Calc!$C$1:$H$1)+Calc!$H$10*(1+B$7)/($A10-B$7)/(1+$A10)^Assumptions!$C$12,NA())</f>
        <v>10927862.4740933</v>
      </c>
      <c r="C10" s="12" t="n">
        <f aca="false">IF($A10&gt;C$7,SUMPRODUCT(Calc!$C$10:$H$10/(1+$A10)^Calc!$C$1:$H$1)+Calc!$H$10*(1+C$7)/($A10-C$7)/(1+$A10)^Assumptions!$C$12,NA())</f>
        <v>12450977.4053685</v>
      </c>
      <c r="D10" s="12" t="n">
        <f aca="false">IF($A10&gt;D$7,SUMPRODUCT(Calc!$C$10:$H$10/(1+$A10)^Calc!$C$1:$H$1)+Calc!$H$10*(1+D$7)/($A10-D$7)/(1+$A10)^Assumptions!$C$12,NA())</f>
        <v>14354871.0694625</v>
      </c>
      <c r="E10" s="12" t="n">
        <f aca="false">IF($A10&gt;E$7,SUMPRODUCT(Calc!$C$10:$H$10/(1+$A10)^Calc!$C$1:$H$1)+Calc!$H$10*(1+E$7)/($A10-E$7)/(1+$A10)^Assumptions!$C$12,NA())</f>
        <v>16802734.351869</v>
      </c>
    </row>
    <row r="11" customFormat="false" ht="15" hidden="false" customHeight="false" outlineLevel="0" collapsed="false">
      <c r="A11" s="4" t="n">
        <v>0.11</v>
      </c>
      <c r="B11" s="12" t="n">
        <f aca="false">IF($A11&gt;B$7,SUMPRODUCT(Calc!$C$10:$H$10/(1+$A11)^Calc!$C$1:$H$1)+Calc!$H$10*(1+B$7)/($A11-B$7)/(1+$A11)^Assumptions!$C$12,NA())</f>
        <v>9123183.98311014</v>
      </c>
      <c r="C11" s="12" t="n">
        <f aca="false">IF($A11&gt;C$7,SUMPRODUCT(Calc!$C$10:$H$10/(1+$A11)^Calc!$C$1:$H$1)+Calc!$H$10*(1+C$7)/($A11-C$7)/(1+$A11)^Assumptions!$C$12,NA())</f>
        <v>10325064.5837435</v>
      </c>
      <c r="D11" s="12" t="n">
        <f aca="false">IF($A11&gt;D$7,SUMPRODUCT(Calc!$C$10:$H$10/(1+$A11)^Calc!$C$1:$H$1)+Calc!$H$10*(1+D$7)/($A11-D$7)/(1+$A11)^Assumptions!$C$12,NA())</f>
        <v>11794029.7622954</v>
      </c>
      <c r="E11" s="12" t="n">
        <f aca="false">IF($A11&gt;E$7,SUMPRODUCT(Calc!$C$10:$H$10/(1+$A11)^Calc!$C$1:$H$1)+Calc!$H$10*(1+E$7)/($A11-E$7)/(1+$A11)^Assumptions!$C$12,NA())</f>
        <v>13630236.2354853</v>
      </c>
    </row>
    <row r="12" customFormat="false" ht="15" hidden="false" customHeight="false" outlineLevel="0" collapsed="false">
      <c r="A12" s="4" t="n">
        <v>0.12</v>
      </c>
      <c r="B12" s="12" t="n">
        <f aca="false">IF($A12&gt;B$7,SUMPRODUCT(Calc!$C$10:$H$10/(1+$A12)^Calc!$C$1:$H$1)+Calc!$H$10*(1+B$7)/($A12-B$7)/(1+$A12)^Assumptions!$C$12,NA())</f>
        <v>7621991.09745939</v>
      </c>
      <c r="C12" s="12" t="n">
        <f aca="false">IF($A12&gt;C$7,SUMPRODUCT(Calc!$C$10:$H$10/(1+$A12)^Calc!$C$1:$H$1)+Calc!$H$10*(1+C$7)/($A12-C$7)/(1+$A12)^Assumptions!$C$12,NA())</f>
        <v>8588264.22939305</v>
      </c>
      <c r="D12" s="12" t="n">
        <f aca="false">IF($A12&gt;D$7,SUMPRODUCT(Calc!$C$10:$H$10/(1+$A12)^Calc!$C$1:$H$1)+Calc!$H$10*(1+D$7)/($A12-D$7)/(1+$A12)^Assumptions!$C$12,NA())</f>
        <v>9747791.98771345</v>
      </c>
      <c r="E12" s="12" t="n">
        <f aca="false">IF($A12&gt;E$7,SUMPRODUCT(Calc!$C$10:$H$10/(1+$A12)^Calc!$C$1:$H$1)+Calc!$H$10*(1+E$7)/($A12-E$7)/(1+$A12)^Assumptions!$C$12,NA())</f>
        <v>11164992.5812162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2026-09-06T07:10:50Z</dcterms:created>
  <dc:creator>openpyxl</dc:creator>
  <dc:description/>
  <dc:language>en-US</dc:language>
  <cp:lastModifiedBy/>
  <dcterms:modified xsi:type="dcterms:W3CDTF">2026-09-06T07:10:50Z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