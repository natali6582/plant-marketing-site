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<sst xmlns="http://schemas.openxmlformats.org/spreadsheetml/2006/main" count="64" uniqueCount="56">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</sst>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0.02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10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0</v>
      </c>
      <c r="D2" s="8" t="n">
        <f aca="false">C8</f>
        <v>24000</v>
      </c>
      <c r="E2" s="8" t="n">
        <f aca="false">D8</f>
        <v>49320</v>
      </c>
      <c r="F2" s="8" t="n">
        <f aca="false">E8</f>
        <v>76015.8</v>
      </c>
      <c r="G2" s="8" t="n">
        <f aca="false">F8</f>
        <v>104145.345</v>
      </c>
      <c r="H2" s="8" t="n">
        <f aca="false">G8</f>
        <v>133768.803915</v>
      </c>
      <c r="I2" s="8" t="n">
        <f aca="false">H8</f>
        <v>164948.651328825</v>
      </c>
      <c r="J2" s="8" t="n">
        <f aca="false">I8</f>
        <v>197749.75218767</v>
      </c>
      <c r="K2" s="8" t="n">
        <f aca="false">J8</f>
        <v>232239.449537821</v>
      </c>
      <c r="L2" s="8" t="n">
        <f aca="false">K8</f>
        <v>268487.655415699</v>
      </c>
    </row>
    <row r="3" customFormat="false" ht="15" hidden="false" customHeight="false" outlineLevel="0" collapsed="false">
      <c r="A3" s="7" t="s">
        <v>40</v>
      </c>
      <c r="B3" s="1" t="s">
        <v>41</v>
      </c>
      <c r="C3" s="8" t="n">
        <f aca="false">Assumptions!$C$3*(1+Assumptions!$C$4)^(C$1-1)</f>
        <v>24000</v>
      </c>
      <c r="D3" s="8" t="n">
        <f aca="false">Assumptions!$C$3*(1+Assumptions!$C$4)^(D$1-1)</f>
        <v>24480</v>
      </c>
      <c r="E3" s="8" t="n">
        <f aca="false">Assumptions!$C$3*(1+Assumptions!$C$4)^(E$1-1)</f>
        <v>24969.6</v>
      </c>
      <c r="F3" s="8" t="n">
        <f aca="false">Assumptions!$C$3*(1+Assumptions!$C$4)^(F$1-1)</f>
        <v>25468.992</v>
      </c>
      <c r="G3" s="8" t="n">
        <f aca="false">Assumptions!$C$3*(1+Assumptions!$C$4)^(G$1-1)</f>
        <v>25978.37184</v>
      </c>
      <c r="H3" s="8" t="n">
        <f aca="false">Assumptions!$C$3*(1+Assumptions!$C$4)^(H$1-1)</f>
        <v>26497.9392768</v>
      </c>
      <c r="I3" s="8" t="n">
        <f aca="false">Assumptions!$C$3*(1+Assumptions!$C$4)^(I$1-1)</f>
        <v>27027.898062336</v>
      </c>
      <c r="J3" s="8" t="n">
        <f aca="false">Assumptions!$C$3*(1+Assumptions!$C$4)^(J$1-1)</f>
        <v>27568.4560235827</v>
      </c>
      <c r="K3" s="8" t="n">
        <f aca="false">Assumptions!$C$3*(1+Assumptions!$C$4)^(K$1-1)</f>
        <v>28119.8251440544</v>
      </c>
      <c r="L3" s="8" t="n">
        <f aca="false">Assumptions!$C$3*(1+Assumptions!$C$4)^(L$1-1)</f>
        <v>28682.2216469355</v>
      </c>
    </row>
    <row r="4" customFormat="false" ht="15" hidden="false" customHeight="false" outlineLevel="0" collapsed="false">
      <c r="A4" s="7" t="s">
        <v>42</v>
      </c>
      <c r="B4" s="1" t="s">
        <v>43</v>
      </c>
      <c r="C4" s="8" t="n">
        <f aca="false">C2*Assumptions!$C$5</f>
        <v>0</v>
      </c>
      <c r="D4" s="8" t="n">
        <f aca="false">D2*Assumptions!$C$5</f>
        <v>960</v>
      </c>
      <c r="E4" s="8" t="n">
        <f aca="false">E2*Assumptions!$C$5</f>
        <v>1972.8</v>
      </c>
      <c r="F4" s="8" t="n">
        <f aca="false">F2*Assumptions!$C$5</f>
        <v>3040.632</v>
      </c>
      <c r="G4" s="8" t="n">
        <f aca="false">G2*Assumptions!$C$5</f>
        <v>4165.8138</v>
      </c>
      <c r="H4" s="8" t="n">
        <f aca="false">H2*Assumptions!$C$5</f>
        <v>5350.7521566</v>
      </c>
      <c r="I4" s="8" t="n">
        <f aca="false">I2*Assumptions!$C$5</f>
        <v>6597.946053153</v>
      </c>
      <c r="J4" s="8" t="n">
        <f aca="false">J2*Assumptions!$C$5</f>
        <v>7909.9900875068</v>
      </c>
      <c r="K4" s="8" t="n">
        <f aca="false">K2*Assumptions!$C$5</f>
        <v>9289.57798151284</v>
      </c>
      <c r="L4" s="8" t="n">
        <f aca="false">L2*Assumptions!$C$5</f>
        <v>10739.506216628</v>
      </c>
    </row>
    <row r="5" customFormat="false" ht="15" hidden="false" customHeight="false" outlineLevel="0" collapsed="false">
      <c r="A5" s="7" t="s">
        <v>44</v>
      </c>
      <c r="B5" s="1" t="s">
        <v>45</v>
      </c>
      <c r="C5" s="8" t="n">
        <f aca="false">C2*Assumptions!$C$6</f>
        <v>0</v>
      </c>
      <c r="D5" s="8" t="n">
        <f aca="false">D2*Assumptions!$C$6</f>
        <v>120</v>
      </c>
      <c r="E5" s="8" t="n">
        <f aca="false">E2*Assumptions!$C$6</f>
        <v>246.6</v>
      </c>
      <c r="F5" s="8" t="n">
        <f aca="false">F2*Assumptions!$C$6</f>
        <v>380.079</v>
      </c>
      <c r="G5" s="8" t="n">
        <f aca="false">G2*Assumptions!$C$6</f>
        <v>520.726725</v>
      </c>
      <c r="H5" s="8" t="n">
        <f aca="false">H2*Assumptions!$C$6</f>
        <v>668.844019575</v>
      </c>
      <c r="I5" s="8" t="n">
        <f aca="false">I2*Assumptions!$C$6</f>
        <v>824.743256644125</v>
      </c>
      <c r="J5" s="8" t="n">
        <f aca="false">J2*Assumptions!$C$6</f>
        <v>988.74876093835</v>
      </c>
      <c r="K5" s="8" t="n">
        <f aca="false">K2*Assumptions!$C$6</f>
        <v>1161.19724768911</v>
      </c>
      <c r="L5" s="8" t="n">
        <f aca="false">L2*Assumptions!$C$6</f>
        <v>1342.4382770785</v>
      </c>
    </row>
    <row r="6" customFormat="false" ht="15" hidden="false" customHeight="false" outlineLevel="0" collapsed="false">
      <c r="A6" s="7" t="s">
        <v>46</v>
      </c>
      <c r="B6" s="1" t="s">
        <v>47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</row>
    <row r="7" customFormat="false" ht="15" hidden="false" customHeight="false" outlineLevel="0" collapsed="false">
      <c r="A7" s="7" t="s">
        <v>48</v>
      </c>
      <c r="B7" s="1" t="s">
        <v>49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</row>
    <row r="8" customFormat="false" ht="15" hidden="false" customHeight="false" outlineLevel="0" collapsed="false">
      <c r="A8" s="7" t="s">
        <v>50</v>
      </c>
      <c r="B8" s="1" t="s">
        <v>51</v>
      </c>
      <c r="C8" s="8" t="n">
        <f aca="false">C2+C3+C4-C5-C6-C7</f>
        <v>24000</v>
      </c>
      <c r="D8" s="8" t="n">
        <f aca="false">D2+D3+D4-D5-D6-D7</f>
        <v>49320</v>
      </c>
      <c r="E8" s="8" t="n">
        <f aca="false">E2+E3+E4-E5-E6-E7</f>
        <v>76015.8</v>
      </c>
      <c r="F8" s="8" t="n">
        <f aca="false">F2+F3+F4-F5-F6-F7</f>
        <v>104145.345</v>
      </c>
      <c r="G8" s="8" t="n">
        <f aca="false">G2+G3+G4-G5-G6-G7</f>
        <v>133768.803915</v>
      </c>
      <c r="H8" s="8" t="n">
        <f aca="false">H2+H3+H4-H5-H6-H7</f>
        <v>164948.651328825</v>
      </c>
      <c r="I8" s="8" t="n">
        <f aca="false">I2+I3+I4-I5-I6-I7</f>
        <v>197749.75218767</v>
      </c>
      <c r="J8" s="8" t="n">
        <f aca="false">J2+J3+J4-J5-J6-J7</f>
        <v>232239.449537821</v>
      </c>
      <c r="K8" s="8" t="n">
        <f aca="false">K2+K3+K4-K5-K6-K7</f>
        <v>268487.655415699</v>
      </c>
      <c r="L8" s="8" t="n">
        <f aca="false">L2+L3+L4-L5-L6-L7</f>
        <v>306566.945002184</v>
      </c>
    </row>
    <row r="9" customFormat="false" ht="15" hidden="false" customHeight="false" outlineLevel="0" collapsed="false">
      <c r="A9" s="7" t="s">
        <v>52</v>
      </c>
      <c r="B9" s="1" t="s">
        <v>53</v>
      </c>
      <c r="C9" s="8" t="n">
        <f aca="false">SUM(C5:C7)</f>
        <v>0</v>
      </c>
      <c r="D9" s="8" t="n">
        <f aca="false">SUM(D5:D7)</f>
        <v>120</v>
      </c>
      <c r="E9" s="8" t="n">
        <f aca="false">SUM(E5:E7)</f>
        <v>246.6</v>
      </c>
      <c r="F9" s="8" t="n">
        <f aca="false">SUM(F5:F7)</f>
        <v>380.079</v>
      </c>
      <c r="G9" s="8" t="n">
        <f aca="false">SUM(G5:G7)</f>
        <v>520.726725</v>
      </c>
      <c r="H9" s="8" t="n">
        <f aca="false">SUM(H5:H7)</f>
        <v>668.844019575</v>
      </c>
      <c r="I9" s="8" t="n">
        <f aca="false">SUM(I5:I7)</f>
        <v>824.743256644125</v>
      </c>
      <c r="J9" s="8" t="n">
        <f aca="false">SUM(J5:J7)</f>
        <v>988.74876093835</v>
      </c>
      <c r="K9" s="8" t="n">
        <f aca="false">SUM(K5:K7)</f>
        <v>1161.19724768911</v>
      </c>
      <c r="L9" s="8" t="n">
        <f aca="false">SUM(L5:L7)</f>
        <v>1342.4382770785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9" t="n">
        <f aca="false">Calc!L8</f>
        <v>306566.945002184</v>
      </c>
    </row>
    <row r="3" customFormat="false" ht="15" hidden="false" customHeight="false" outlineLevel="0" collapsed="false">
      <c r="A3" s="1" t="s">
        <v>55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284304.619765077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281813.217827901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280577.25585412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279347.742036761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276907.926293152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297160.012833605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294534.899670307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293232.596167677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291937.081400834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289366.279105096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310704.949401865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307939.085246332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306566.945002182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305201.950431069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302493.252681779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324975.63267346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322061.641151141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320616.001668613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319177.881831317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316324.048534796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340009.990289596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336940.144557738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335417.169160344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333902.105115198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330895.551308679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2026-09-06T07:53:28Z</dcterms:created>
  <dc:creator>openpyxl</dc:creator>
  <dc:description/>
  <dc:language>en-US</dc:language>
  <cp:lastModifiedBy/>
  <dcterms:modified xsi:type="dcterms:W3CDTF">2026-09-06T07:53:28Z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