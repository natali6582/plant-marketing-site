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lc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<sst xmlns="http://schemas.openxmlformats.org/spreadsheetml/2006/main" count="64" uniqueCount="56">
  <si>
    <t xml:space="preserve">מודל צבירה פנסיונית — דוגמה</t>
  </si>
  <si>
    <r>
      <rPr>
        <sz val="11"/>
        <color theme="1"/>
        <rFont val="FreeSans"/>
        <family val="2"/>
        <charset val="1"/>
      </rPr>
      <t xml:space="preserve">תאים לעריכה</t>
    </r>
    <r>
      <rPr>
        <sz val="11"/>
        <color theme="1"/>
        <rFont val="Calibri"/>
        <family val="2"/>
        <charset val="1"/>
      </rPr>
      <t xml:space="preserve">: Assumptions!C2:C6 (</t>
    </r>
    <r>
      <rPr>
        <sz val="11"/>
        <color theme="1"/>
        <rFont val="FreeSans"/>
        <family val="2"/>
        <charset val="1"/>
      </rPr>
      <t xml:space="preserve">כחול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FreeSans"/>
        <family val="2"/>
        <charset val="1"/>
      </rPr>
      <t xml:space="preserve">אופק נקבע בבנייה עם </t>
    </r>
    <r>
      <rPr>
        <sz val="11"/>
        <color theme="1"/>
        <rFont val="Calibri"/>
        <family val="2"/>
        <charset val="1"/>
      </rPr>
      <t xml:space="preserve">--years (</t>
    </r>
    <r>
      <rPr>
        <sz val="11"/>
        <color theme="1"/>
        <rFont val="FreeSans"/>
        <family val="2"/>
        <charset val="1"/>
      </rPr>
      <t xml:space="preserve">אפור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</si>
  <si>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גרסה</t>
    </r>
    <r>
      <rPr>
        <sz val="11"/>
        <color theme="1"/>
        <rFont val="Calibri"/>
        <family val="2"/>
        <charset val="1"/>
      </rPr>
      <t xml:space="preserve">: 0.1</t>
    </r>
  </si>
  <si>
    <r>
      <rPr>
        <sz val="11"/>
        <color theme="1"/>
        <rFont val="FreeSans"/>
        <family val="2"/>
        <charset val="1"/>
      </rPr>
      <t xml:space="preserve">תאריך בנייה</t>
    </r>
    <r>
      <rPr>
        <sz val="11"/>
        <color theme="1"/>
        <rFont val="Calibri"/>
        <family val="2"/>
        <charset val="1"/>
      </rPr>
      <t xml:space="preserve">: (</t>
    </r>
    <r>
      <rPr>
        <sz val="11"/>
        <color theme="1"/>
        <rFont val="FreeSans"/>
        <family val="2"/>
        <charset val="1"/>
      </rPr>
      <t xml:space="preserve">נקבע בזמן הבנייה — ראה תא </t>
    </r>
    <r>
      <rPr>
        <sz val="11"/>
        <color theme="1"/>
        <rFont val="Calibri"/>
        <family val="2"/>
        <charset val="1"/>
      </rPr>
      <t xml:space="preserve">C4 </t>
    </r>
    <r>
      <rPr>
        <sz val="11"/>
        <color theme="1"/>
        <rFont val="FreeSans"/>
        <family val="2"/>
        <charset val="1"/>
      </rPr>
      <t xml:space="preserve">של </t>
    </r>
    <r>
      <rPr>
        <sz val="11"/>
        <color theme="1"/>
        <rFont val="Calibri"/>
        <family val="2"/>
        <charset val="1"/>
      </rPr>
      <t xml:space="preserve">Assumptions </t>
    </r>
    <r>
      <rPr>
        <sz val="11"/>
        <color theme="1"/>
        <rFont val="FreeSans"/>
        <family val="2"/>
        <charset val="1"/>
      </rPr>
      <t xml:space="preserve">אינו קיים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  <charset val="1"/>
      </rPr>
      <t xml:space="preserve">הבנייה דטרמיניסטית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</si>
  <si>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המודל מחשב בלבד — אינו ייעוץ פנסיוני</t>
    </r>
    <r>
      <rPr>
        <sz val="11"/>
        <color theme="1"/>
        <rFont val="Calibri"/>
        <family val="2"/>
        <charset val="1"/>
      </rPr>
      <t xml:space="preserve">.</t>
    </r>
  </si>
  <si>
    <t xml:space="preserve">key</t>
  </si>
  <si>
    <t xml:space="preserve">label</t>
  </si>
  <si>
    <t xml:space="preserve">value</t>
  </si>
  <si>
    <t xml:space="preserve">unit</t>
  </si>
  <si>
    <t xml:space="preserve">source</t>
  </si>
  <si>
    <t xml:space="preserve">p0</t>
  </si>
  <si>
    <t xml:space="preserve">צבירה קיימת</t>
  </si>
  <si>
    <t xml:space="preserve">₪</t>
  </si>
  <si>
    <t xml:space="preserve">המשתמש</t>
  </si>
  <si>
    <t xml:space="preserve">deposit0</t>
  </si>
  <si>
    <t xml:space="preserve">הפקדה שנתית התחלתית</t>
  </si>
  <si>
    <t xml:space="preserve">sal_growth</t>
  </si>
  <si>
    <t xml:space="preserve">עליית שכר שנתית</t>
  </si>
  <si>
    <t xml:space="preserve">%</t>
  </si>
  <si>
    <t xml:space="preserve">הנחה — לאישור</t>
  </si>
  <si>
    <t xml:space="preserve">return_lt</t>
  </si>
  <si>
    <t xml:space="preserve">תשואה שנתית</t>
  </si>
  <si>
    <t xml:space="preserve">fee_aum</t>
  </si>
  <si>
    <t xml:space="preserve">דמי ניהול מצבירה</t>
  </si>
  <si>
    <t xml:space="preserve">horizon</t>
  </si>
  <si>
    <r>
      <rPr>
        <sz val="11"/>
        <color theme="1"/>
        <rFont val="FreeSans"/>
        <family val="2"/>
        <charset val="1"/>
      </rPr>
      <t xml:space="preserve">אופק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שנים</t>
    </r>
    <r>
      <rPr>
        <sz val="11"/>
        <color theme="1"/>
        <rFont val="Calibri"/>
        <family val="2"/>
        <charset val="1"/>
      </rPr>
      <t xml:space="preserve">)</t>
    </r>
  </si>
  <si>
    <t xml:space="preserve">שנים</t>
  </si>
  <si>
    <t xml:space="preserve">CLI --years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</si>
  <si>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</si>
  <si>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</si>
  <si>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</si>
  <si>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</si>
  <si>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</si>
  <si>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</si>
  <si>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</si>
  <si>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</si>
  <si>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</si>
  <si>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</si>
  <si>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open</t>
  </si>
  <si>
    <t xml:space="preserve">יתרת פתיחה</t>
  </si>
  <si>
    <t xml:space="preserve">deposit</t>
  </si>
  <si>
    <t xml:space="preserve">הפקדה</t>
  </si>
  <si>
    <t xml:space="preserve">return</t>
  </si>
  <si>
    <t xml:space="preserve">תשואה</t>
  </si>
  <si>
    <t xml:space="preserve">fee</t>
  </si>
  <si>
    <t xml:space="preserve">דמי ניהול</t>
  </si>
  <si>
    <t xml:space="preserve">withdraw</t>
  </si>
  <si>
    <t xml:space="preserve">משיכה</t>
  </si>
  <si>
    <t xml:space="preserve">tax</t>
  </si>
  <si>
    <t xml:space="preserve">מס</t>
  </si>
  <si>
    <t xml:space="preserve">close</t>
  </si>
  <si>
    <t xml:space="preserve">יתרת סגירה</t>
  </si>
  <si>
    <t xml:space="preserve">cost_total</t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</si>
  <si>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עלויות</t>
    </r>
  </si>
  <si>
    <t xml:space="preserve">צבירה בסוף האופק</t>
  </si>
  <si>
    <r>
      <rPr>
        <sz val="11"/>
        <color theme="1"/>
        <rFont val="FreeSans"/>
        <family val="2"/>
        <charset val="1"/>
      </rPr>
      <t xml:space="preserve">ניתוח רגישות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  <charset val="1"/>
      </rPr>
      <t xml:space="preserve">צבירה סופית — תשואה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שורות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FreeSans"/>
        <family val="2"/>
        <charset val="1"/>
      </rPr>
      <t xml:space="preserve">דמי ניהול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עמודות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</si>
</sst>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;\(#,##0\);\-"/>
    <numFmt numFmtId="167" formatCode="#,##0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rgb="FF0000FF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4.9" hidden="false" customHeight="false" outlineLevel="0" collapsed="false">
      <c r="A2" s="1" t="s">
        <v>1</v>
      </c>
    </row>
    <row r="3" customFormat="false" ht="12.65" hidden="false" customHeight="false" outlineLevel="0" collapsed="false">
      <c r="A3" s="1" t="s">
        <v>2</v>
      </c>
    </row>
    <row r="4" customFormat="false" ht="14.9" hidden="false" customHeight="false" outlineLevel="0" collapsed="false">
      <c r="A4" s="1" t="s">
        <v>3</v>
      </c>
    </row>
    <row r="5" customFormat="false" ht="14.9" hidden="false" customHeight="false" outlineLevel="0" collapsed="false">
      <c r="A5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customFormat="false" ht="15" hidden="false" customHeight="false" outlineLevel="0" collapsed="false">
      <c r="A2" s="2" t="s">
        <v>10</v>
      </c>
      <c r="B2" s="1" t="s">
        <v>11</v>
      </c>
      <c r="C2" s="3" t="n">
        <v>100000</v>
      </c>
      <c r="D2" s="2" t="s">
        <v>12</v>
      </c>
      <c r="E2" s="1" t="s">
        <v>13</v>
      </c>
    </row>
    <row r="3" customFormat="false" ht="15" hidden="false" customHeight="false" outlineLevel="0" collapsed="false">
      <c r="A3" s="2" t="s">
        <v>14</v>
      </c>
      <c r="B3" s="1" t="s">
        <v>15</v>
      </c>
      <c r="C3" s="3" t="n">
        <v>24000</v>
      </c>
      <c r="D3" s="2" t="s">
        <v>12</v>
      </c>
      <c r="E3" s="1" t="s">
        <v>13</v>
      </c>
    </row>
    <row r="4" customFormat="false" ht="15" hidden="false" customHeight="false" outlineLevel="0" collapsed="false">
      <c r="A4" s="2" t="s">
        <v>16</v>
      </c>
      <c r="B4" s="1" t="s">
        <v>17</v>
      </c>
      <c r="C4" s="4" t="n">
        <v>0</v>
      </c>
      <c r="D4" s="2" t="s">
        <v>18</v>
      </c>
      <c r="E4" s="1" t="s">
        <v>19</v>
      </c>
    </row>
    <row r="5" customFormat="false" ht="15" hidden="false" customHeight="false" outlineLevel="0" collapsed="false">
      <c r="A5" s="2" t="s">
        <v>20</v>
      </c>
      <c r="B5" s="1" t="s">
        <v>21</v>
      </c>
      <c r="C5" s="4" t="n">
        <v>0.04</v>
      </c>
      <c r="D5" s="2" t="s">
        <v>18</v>
      </c>
      <c r="E5" s="1" t="s">
        <v>19</v>
      </c>
    </row>
    <row r="6" customFormat="false" ht="15" hidden="false" customHeight="false" outlineLevel="0" collapsed="false">
      <c r="A6" s="2" t="s">
        <v>22</v>
      </c>
      <c r="B6" s="1" t="s">
        <v>23</v>
      </c>
      <c r="C6" s="5" t="n">
        <v>0.005</v>
      </c>
      <c r="D6" s="2" t="s">
        <v>18</v>
      </c>
      <c r="E6" s="1" t="s">
        <v>13</v>
      </c>
    </row>
    <row r="7" customFormat="false" ht="15" hidden="false" customHeight="false" outlineLevel="0" collapsed="false">
      <c r="A7" s="2" t="s">
        <v>24</v>
      </c>
      <c r="B7" s="1" t="s">
        <v>25</v>
      </c>
      <c r="C7" s="6" t="n">
        <v>10</v>
      </c>
      <c r="D7" s="1" t="s">
        <v>26</v>
      </c>
      <c r="E7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5</v>
      </c>
      <c r="B1" s="2" t="s">
        <v>6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r="2" customFormat="false" ht="15" hidden="false" customHeight="false" outlineLevel="0" collapsed="false">
      <c r="A2" s="7" t="s">
        <v>38</v>
      </c>
      <c r="B2" s="1" t="s">
        <v>39</v>
      </c>
      <c r="C2" s="8" t="n">
        <f aca="false">Assumptions!$C$2</f>
        <v>100000</v>
      </c>
      <c r="D2" s="8" t="n">
        <f aca="false">C8</f>
        <v>127500</v>
      </c>
      <c r="E2" s="8" t="n">
        <f aca="false">D8</f>
        <v>155962.5</v>
      </c>
      <c r="F2" s="8" t="n">
        <f aca="false">E8</f>
        <v>185421.1875</v>
      </c>
      <c r="G2" s="8" t="n">
        <f aca="false">F8</f>
        <v>215910.9290625</v>
      </c>
      <c r="H2" s="8" t="n">
        <f aca="false">G8</f>
        <v>247467.811579688</v>
      </c>
      <c r="I2" s="8" t="n">
        <f aca="false">H8</f>
        <v>280129.184984977</v>
      </c>
      <c r="J2" s="8" t="n">
        <f aca="false">I8</f>
        <v>313933.706459451</v>
      </c>
      <c r="K2" s="8" t="n">
        <f aca="false">J8</f>
        <v>348921.386185532</v>
      </c>
      <c r="L2" s="8" t="n">
        <f aca="false">K8</f>
        <v>385133.634702025</v>
      </c>
    </row>
    <row r="3" customFormat="false" ht="15" hidden="false" customHeight="false" outlineLevel="0" collapsed="false">
      <c r="A3" s="7" t="s">
        <v>40</v>
      </c>
      <c r="B3" s="1" t="s">
        <v>41</v>
      </c>
      <c r="C3" s="8" t="n">
        <f aca="false">Assumptions!$C$3*(1+Assumptions!$C$4)^(C$1-1)</f>
        <v>24000</v>
      </c>
      <c r="D3" s="8" t="n">
        <f aca="false">Assumptions!$C$3*(1+Assumptions!$C$4)^(D$1-1)</f>
        <v>24000</v>
      </c>
      <c r="E3" s="8" t="n">
        <f aca="false">Assumptions!$C$3*(1+Assumptions!$C$4)^(E$1-1)</f>
        <v>24000</v>
      </c>
      <c r="F3" s="8" t="n">
        <f aca="false">Assumptions!$C$3*(1+Assumptions!$C$4)^(F$1-1)</f>
        <v>24000</v>
      </c>
      <c r="G3" s="8" t="n">
        <f aca="false">Assumptions!$C$3*(1+Assumptions!$C$4)^(G$1-1)</f>
        <v>24000</v>
      </c>
      <c r="H3" s="8" t="n">
        <f aca="false">Assumptions!$C$3*(1+Assumptions!$C$4)^(H$1-1)</f>
        <v>24000</v>
      </c>
      <c r="I3" s="8" t="n">
        <f aca="false">Assumptions!$C$3*(1+Assumptions!$C$4)^(I$1-1)</f>
        <v>24000</v>
      </c>
      <c r="J3" s="8" t="n">
        <f aca="false">Assumptions!$C$3*(1+Assumptions!$C$4)^(J$1-1)</f>
        <v>24000</v>
      </c>
      <c r="K3" s="8" t="n">
        <f aca="false">Assumptions!$C$3*(1+Assumptions!$C$4)^(K$1-1)</f>
        <v>24000</v>
      </c>
      <c r="L3" s="8" t="n">
        <f aca="false">Assumptions!$C$3*(1+Assumptions!$C$4)^(L$1-1)</f>
        <v>24000</v>
      </c>
    </row>
    <row r="4" customFormat="false" ht="15" hidden="false" customHeight="false" outlineLevel="0" collapsed="false">
      <c r="A4" s="7" t="s">
        <v>42</v>
      </c>
      <c r="B4" s="1" t="s">
        <v>43</v>
      </c>
      <c r="C4" s="8" t="n">
        <f aca="false">C2*Assumptions!$C$5</f>
        <v>4000</v>
      </c>
      <c r="D4" s="8" t="n">
        <f aca="false">D2*Assumptions!$C$5</f>
        <v>5100</v>
      </c>
      <c r="E4" s="8" t="n">
        <f aca="false">E2*Assumptions!$C$5</f>
        <v>6238.5</v>
      </c>
      <c r="F4" s="8" t="n">
        <f aca="false">F2*Assumptions!$C$5</f>
        <v>7416.8475</v>
      </c>
      <c r="G4" s="8" t="n">
        <f aca="false">G2*Assumptions!$C$5</f>
        <v>8636.4371625</v>
      </c>
      <c r="H4" s="8" t="n">
        <f aca="false">H2*Assumptions!$C$5</f>
        <v>9898.7124631875</v>
      </c>
      <c r="I4" s="8" t="n">
        <f aca="false">I2*Assumptions!$C$5</f>
        <v>11205.1673993991</v>
      </c>
      <c r="J4" s="8" t="n">
        <f aca="false">J2*Assumptions!$C$5</f>
        <v>12557.348258378</v>
      </c>
      <c r="K4" s="8" t="n">
        <f aca="false">K2*Assumptions!$C$5</f>
        <v>13956.8554474213</v>
      </c>
      <c r="L4" s="8" t="n">
        <f aca="false">L2*Assumptions!$C$5</f>
        <v>15405.345388081</v>
      </c>
    </row>
    <row r="5" customFormat="false" ht="15" hidden="false" customHeight="false" outlineLevel="0" collapsed="false">
      <c r="A5" s="7" t="s">
        <v>44</v>
      </c>
      <c r="B5" s="1" t="s">
        <v>45</v>
      </c>
      <c r="C5" s="8" t="n">
        <f aca="false">C2*Assumptions!$C$6</f>
        <v>500</v>
      </c>
      <c r="D5" s="8" t="n">
        <f aca="false">D2*Assumptions!$C$6</f>
        <v>637.5</v>
      </c>
      <c r="E5" s="8" t="n">
        <f aca="false">E2*Assumptions!$C$6</f>
        <v>779.8125</v>
      </c>
      <c r="F5" s="8" t="n">
        <f aca="false">F2*Assumptions!$C$6</f>
        <v>927.1059375</v>
      </c>
      <c r="G5" s="8" t="n">
        <f aca="false">G2*Assumptions!$C$6</f>
        <v>1079.5546453125</v>
      </c>
      <c r="H5" s="8" t="n">
        <f aca="false">H2*Assumptions!$C$6</f>
        <v>1237.33905789844</v>
      </c>
      <c r="I5" s="8" t="n">
        <f aca="false">I2*Assumptions!$C$6</f>
        <v>1400.64592492488</v>
      </c>
      <c r="J5" s="8" t="n">
        <f aca="false">J2*Assumptions!$C$6</f>
        <v>1569.66853229725</v>
      </c>
      <c r="K5" s="8" t="n">
        <f aca="false">K2*Assumptions!$C$6</f>
        <v>1744.60693092766</v>
      </c>
      <c r="L5" s="8" t="n">
        <f aca="false">L2*Assumptions!$C$6</f>
        <v>1925.66817351013</v>
      </c>
    </row>
    <row r="6" customFormat="false" ht="15" hidden="false" customHeight="false" outlineLevel="0" collapsed="false">
      <c r="A6" s="7" t="s">
        <v>46</v>
      </c>
      <c r="B6" s="1" t="s">
        <v>47</v>
      </c>
      <c r="C6" s="8" t="n">
        <f aca="false">0*C2</f>
        <v>0</v>
      </c>
      <c r="D6" s="8" t="n">
        <f aca="false">0*D2</f>
        <v>0</v>
      </c>
      <c r="E6" s="8" t="n">
        <f aca="false">0*E2</f>
        <v>0</v>
      </c>
      <c r="F6" s="8" t="n">
        <f aca="false">0*F2</f>
        <v>0</v>
      </c>
      <c r="G6" s="8" t="n">
        <f aca="false">0*G2</f>
        <v>0</v>
      </c>
      <c r="H6" s="8" t="n">
        <f aca="false">0*H2</f>
        <v>0</v>
      </c>
      <c r="I6" s="8" t="n">
        <f aca="false">0*I2</f>
        <v>0</v>
      </c>
      <c r="J6" s="8" t="n">
        <f aca="false">0*J2</f>
        <v>0</v>
      </c>
      <c r="K6" s="8" t="n">
        <f aca="false">0*K2</f>
        <v>0</v>
      </c>
      <c r="L6" s="8" t="n">
        <f aca="false">0*L2</f>
        <v>0</v>
      </c>
    </row>
    <row r="7" customFormat="false" ht="15" hidden="false" customHeight="false" outlineLevel="0" collapsed="false">
      <c r="A7" s="7" t="s">
        <v>48</v>
      </c>
      <c r="B7" s="1" t="s">
        <v>49</v>
      </c>
      <c r="C7" s="8" t="n">
        <f aca="false">0*C6</f>
        <v>0</v>
      </c>
      <c r="D7" s="8" t="n">
        <f aca="false">0*D6</f>
        <v>0</v>
      </c>
      <c r="E7" s="8" t="n">
        <f aca="false">0*E6</f>
        <v>0</v>
      </c>
      <c r="F7" s="8" t="n">
        <f aca="false">0*F6</f>
        <v>0</v>
      </c>
      <c r="G7" s="8" t="n">
        <f aca="false">0*G6</f>
        <v>0</v>
      </c>
      <c r="H7" s="8" t="n">
        <f aca="false">0*H6</f>
        <v>0</v>
      </c>
      <c r="I7" s="8" t="n">
        <f aca="false">0*I6</f>
        <v>0</v>
      </c>
      <c r="J7" s="8" t="n">
        <f aca="false">0*J6</f>
        <v>0</v>
      </c>
      <c r="K7" s="8" t="n">
        <f aca="false">0*K6</f>
        <v>0</v>
      </c>
      <c r="L7" s="8" t="n">
        <f aca="false">0*L6</f>
        <v>0</v>
      </c>
    </row>
    <row r="8" customFormat="false" ht="15" hidden="false" customHeight="false" outlineLevel="0" collapsed="false">
      <c r="A8" s="7" t="s">
        <v>50</v>
      </c>
      <c r="B8" s="1" t="s">
        <v>51</v>
      </c>
      <c r="C8" s="8" t="n">
        <f aca="false">C2+C3+C4-C5-C6-C7</f>
        <v>127500</v>
      </c>
      <c r="D8" s="8" t="n">
        <f aca="false">D2+D3+D4-D5-D6-D7</f>
        <v>155962.5</v>
      </c>
      <c r="E8" s="8" t="n">
        <f aca="false">E2+E3+E4-E5-E6-E7</f>
        <v>185421.1875</v>
      </c>
      <c r="F8" s="8" t="n">
        <f aca="false">F2+F3+F4-F5-F6-F7</f>
        <v>215910.9290625</v>
      </c>
      <c r="G8" s="8" t="n">
        <f aca="false">G2+G3+G4-G5-G6-G7</f>
        <v>247467.811579688</v>
      </c>
      <c r="H8" s="8" t="n">
        <f aca="false">H2+H3+H4-H5-H6-H7</f>
        <v>280129.184984977</v>
      </c>
      <c r="I8" s="8" t="n">
        <f aca="false">I2+I3+I4-I5-I6-I7</f>
        <v>313933.706459451</v>
      </c>
      <c r="J8" s="8" t="n">
        <f aca="false">J2+J3+J4-J5-J6-J7</f>
        <v>348921.386185532</v>
      </c>
      <c r="K8" s="8" t="n">
        <f aca="false">K2+K3+K4-K5-K6-K7</f>
        <v>385133.634702025</v>
      </c>
      <c r="L8" s="8" t="n">
        <f aca="false">L2+L3+L4-L5-L6-L7</f>
        <v>422613.311916596</v>
      </c>
    </row>
    <row r="9" customFormat="false" ht="15" hidden="false" customHeight="false" outlineLevel="0" collapsed="false">
      <c r="A9" s="7" t="s">
        <v>52</v>
      </c>
      <c r="B9" s="1" t="s">
        <v>53</v>
      </c>
      <c r="C9" s="8" t="n">
        <f aca="false">SUM(C5:C7)</f>
        <v>500</v>
      </c>
      <c r="D9" s="8" t="n">
        <f aca="false">SUM(D5:D7)</f>
        <v>637.5</v>
      </c>
      <c r="E9" s="8" t="n">
        <f aca="false">SUM(E5:E7)</f>
        <v>779.8125</v>
      </c>
      <c r="F9" s="8" t="n">
        <f aca="false">SUM(F5:F7)</f>
        <v>927.1059375</v>
      </c>
      <c r="G9" s="8" t="n">
        <f aca="false">SUM(G5:G7)</f>
        <v>1079.5546453125</v>
      </c>
      <c r="H9" s="8" t="n">
        <f aca="false">SUM(H5:H7)</f>
        <v>1237.33905789844</v>
      </c>
      <c r="I9" s="8" t="n">
        <f aca="false">SUM(I5:I7)</f>
        <v>1400.64592492488</v>
      </c>
      <c r="J9" s="8" t="n">
        <f aca="false">SUM(J5:J7)</f>
        <v>1569.66853229725</v>
      </c>
      <c r="K9" s="8" t="n">
        <f aca="false">SUM(K5:K7)</f>
        <v>1744.60693092766</v>
      </c>
      <c r="L9" s="8" t="n">
        <f aca="false">SUM(L5:L7)</f>
        <v>1925.66817351013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54</v>
      </c>
      <c r="B1" s="9" t="n">
        <f aca="false">Calc!L8</f>
        <v>422613.311916596</v>
      </c>
    </row>
    <row r="3" customFormat="false" ht="15" hidden="false" customHeight="false" outlineLevel="0" collapsed="false">
      <c r="A3" s="1" t="s">
        <v>55</v>
      </c>
    </row>
    <row r="4" customFormat="false" ht="15" hidden="false" customHeight="false" outlineLevel="0" collapsed="false">
      <c r="B4" s="10" t="n">
        <v>0.002</v>
      </c>
      <c r="C4" s="10" t="n">
        <v>0.004</v>
      </c>
      <c r="D4" s="10" t="n">
        <v>0.005</v>
      </c>
      <c r="E4" s="10" t="n">
        <v>0.006</v>
      </c>
      <c r="F4" s="10" t="n">
        <v>0.008</v>
      </c>
    </row>
    <row r="5" customFormat="false" ht="15" hidden="false" customHeight="false" outlineLevel="0" collapsed="false">
      <c r="A5" s="10" t="n">
        <v>0.02</v>
      </c>
      <c r="B5" s="11" t="n">
        <f aca="false">IFERROR(Assumptions!$C$2*(1+($A5-B$4))^Assumptions!$C$7+Assumptions!$C$3*((1+($A5-B$4))^Assumptions!$C$7-(1+Assumptions!$C$4)^Assumptions!$C$7)/(($A5-B$4)-Assumptions!$C$4),Assumptions!$C$2*(1+($A5-B$4))^Assumptions!$C$7+Assumptions!$C$3*Assumptions!$C$7*(1+Assumptions!$C$4)^(Assumptions!$C$7-1))</f>
        <v>379933.394631657</v>
      </c>
      <c r="C5" s="11" t="n">
        <f aca="false">IFERROR(Assumptions!$C$2*(1+($A5-C$4))^Assumptions!$C$7+Assumptions!$C$3*((1+($A5-C$4))^Assumptions!$C$7-(1+Assumptions!$C$4)^Assumptions!$C$7)/(($A5-C$4)-Assumptions!$C$4),Assumptions!$C$2*(1+($A5-C$4))^Assumptions!$C$7+Assumptions!$C$3*Assumptions!$C$7*(1+Assumptions!$C$4)^(Assumptions!$C$7-1))</f>
        <v>375240.880570838</v>
      </c>
      <c r="D5" s="11" t="n">
        <f aca="false">IFERROR(Assumptions!$C$2*(1+($A5-D$4))^Assumptions!$C$7+Assumptions!$C$3*((1+($A5-D$4))^Assumptions!$C$7-(1+Assumptions!$C$4)^Assumptions!$C$7)/(($A5-D$4)-Assumptions!$C$4),Assumptions!$C$2*(1+($A5-D$4))^Assumptions!$C$7+Assumptions!$C$3*Assumptions!$C$7*(1+Assumptions!$C$4)^(Assumptions!$C$7-1))</f>
        <v>372919.402542753</v>
      </c>
      <c r="E5" s="11" t="n">
        <f aca="false">IFERROR(Assumptions!$C$2*(1+($A5-E$4))^Assumptions!$C$7+Assumptions!$C$3*((1+($A5-E$4))^Assumptions!$C$7-(1+Assumptions!$C$4)^Assumptions!$C$7)/(($A5-E$4)-Assumptions!$C$4),Assumptions!$C$2*(1+($A5-E$4))^Assumptions!$C$7+Assumptions!$C$3*Assumptions!$C$7*(1+Assumptions!$C$4)^(Assumptions!$C$7-1))</f>
        <v>370614.293280957</v>
      </c>
      <c r="F5" s="11" t="n">
        <f aca="false">IFERROR(Assumptions!$C$2*(1+($A5-F$4))^Assumptions!$C$7+Assumptions!$C$3*((1+($A5-F$4))^Assumptions!$C$7-(1+Assumptions!$C$4)^Assumptions!$C$7)/(($A5-F$4)-Assumptions!$C$4),Assumptions!$C$2*(1+($A5-F$4))^Assumptions!$C$7+Assumptions!$C$3*Assumptions!$C$7*(1+Assumptions!$C$4)^(Assumptions!$C$7-1))</f>
        <v>366052.733583784</v>
      </c>
    </row>
    <row r="6" customFormat="false" ht="15" hidden="false" customHeight="false" outlineLevel="0" collapsed="false">
      <c r="A6" s="10" t="n">
        <v>0.03</v>
      </c>
      <c r="B6" s="11" t="n">
        <f aca="false">IFERROR(Assumptions!$C$2*(1+($A6-B$4))^Assumptions!$C$7+Assumptions!$C$3*((1+($A6-B$4))^Assumptions!$C$7-(1+Assumptions!$C$4)^Assumptions!$C$7)/(($A6-B$4)-Assumptions!$C$4),Assumptions!$C$2*(1+($A6-B$4))^Assumptions!$C$7+Assumptions!$C$3*Assumptions!$C$7*(1+Assumptions!$C$4)^(Assumptions!$C$7-1))</f>
        <v>404417.139422846</v>
      </c>
      <c r="C6" s="11" t="n">
        <f aca="false">IFERROR(Assumptions!$C$2*(1+($A6-C$4))^Assumptions!$C$7+Assumptions!$C$3*((1+($A6-C$4))^Assumptions!$C$7-(1+Assumptions!$C$4)^Assumptions!$C$7)/(($A6-C$4)-Assumptions!$C$4),Assumptions!$C$2*(1+($A6-C$4))^Assumptions!$C$7+Assumptions!$C$3*Assumptions!$C$7*(1+Assumptions!$C$4)^(Assumptions!$C$7-1))</f>
        <v>399381.102102619</v>
      </c>
      <c r="D6" s="11" t="n">
        <f aca="false">IFERROR(Assumptions!$C$2*(1+($A6-D$4))^Assumptions!$C$7+Assumptions!$C$3*((1+($A6-D$4))^Assumptions!$C$7-(1+Assumptions!$C$4)^Assumptions!$C$7)/(($A6-D$4)-Assumptions!$C$4),Assumptions!$C$2*(1+($A6-D$4))^Assumptions!$C$7+Assumptions!$C$3*Assumptions!$C$7*(1+Assumptions!$C$4)^(Assumptions!$C$7-1))</f>
        <v>396889.616848138</v>
      </c>
      <c r="E6" s="11" t="n">
        <f aca="false">IFERROR(Assumptions!$C$2*(1+($A6-E$4))^Assumptions!$C$7+Assumptions!$C$3*((1+($A6-E$4))^Assumptions!$C$7-(1+Assumptions!$C$4)^Assumptions!$C$7)/(($A6-E$4)-Assumptions!$C$4),Assumptions!$C$2*(1+($A6-E$4))^Assumptions!$C$7+Assumptions!$C$3*Assumptions!$C$7*(1+Assumptions!$C$4)^(Assumptions!$C$7-1))</f>
        <v>394415.660251053</v>
      </c>
      <c r="F6" s="11" t="n">
        <f aca="false">IFERROR(Assumptions!$C$2*(1+($A6-F$4))^Assumptions!$C$7+Assumptions!$C$3*((1+($A6-F$4))^Assumptions!$C$7-(1+Assumptions!$C$4)^Assumptions!$C$7)/(($A6-F$4)-Assumptions!$C$4),Assumptions!$C$2*(1+($A6-F$4))^Assumptions!$C$7+Assumptions!$C$3*Assumptions!$C$7*(1+Assumptions!$C$4)^(Assumptions!$C$7-1))</f>
        <v>389519.85666252</v>
      </c>
    </row>
    <row r="7" customFormat="false" ht="15" hidden="false" customHeight="false" outlineLevel="0" collapsed="false">
      <c r="A7" s="10" t="n">
        <v>0.04</v>
      </c>
      <c r="B7" s="11" t="n">
        <f aca="false">IFERROR(Assumptions!$C$2*(1+($A7-B$4))^Assumptions!$C$7+Assumptions!$C$3*((1+($A7-B$4))^Assumptions!$C$7-(1+Assumptions!$C$4)^Assumptions!$C$7)/(($A7-B$4)-Assumptions!$C$4),Assumptions!$C$2*(1+($A7-B$4))^Assumptions!$C$7+Assumptions!$C$3*Assumptions!$C$7*(1+Assumptions!$C$4)^(Assumptions!$C$7-1))</f>
        <v>430690.607128504</v>
      </c>
      <c r="C7" s="11" t="n">
        <f aca="false">IFERROR(Assumptions!$C$2*(1+($A7-C$4))^Assumptions!$C$7+Assumptions!$C$3*((1+($A7-C$4))^Assumptions!$C$7-(1+Assumptions!$C$4)^Assumptions!$C$7)/(($A7-C$4)-Assumptions!$C$4),Assumptions!$C$2*(1+($A7-C$4))^Assumptions!$C$7+Assumptions!$C$3*Assumptions!$C$7*(1+Assumptions!$C$4)^(Assumptions!$C$7-1))</f>
        <v>425286.810010772</v>
      </c>
      <c r="D7" s="11" t="n">
        <f aca="false">IFERROR(Assumptions!$C$2*(1+($A7-D$4))^Assumptions!$C$7+Assumptions!$C$3*((1+($A7-D$4))^Assumptions!$C$7-(1+Assumptions!$C$4)^Assumptions!$C$7)/(($A7-D$4)-Assumptions!$C$4),Assumptions!$C$2*(1+($A7-D$4))^Assumptions!$C$7+Assumptions!$C$3*Assumptions!$C$7*(1+Assumptions!$C$4)^(Assumptions!$C$7-1))</f>
        <v>422613.311916595</v>
      </c>
      <c r="E7" s="11" t="n">
        <f aca="false">IFERROR(Assumptions!$C$2*(1+($A7-E$4))^Assumptions!$C$7+Assumptions!$C$3*((1+($A7-E$4))^Assumptions!$C$7-(1+Assumptions!$C$4)^Assumptions!$C$7)/(($A7-E$4)-Assumptions!$C$4),Assumptions!$C$2*(1+($A7-E$4))^Assumptions!$C$7+Assumptions!$C$3*Assumptions!$C$7*(1+Assumptions!$C$4)^(Assumptions!$C$7-1))</f>
        <v>419958.576928812</v>
      </c>
      <c r="F7" s="11" t="n">
        <f aca="false">IFERROR(Assumptions!$C$2*(1+($A7-F$4))^Assumptions!$C$7+Assumptions!$C$3*((1+($A7-F$4))^Assumptions!$C$7-(1+Assumptions!$C$4)^Assumptions!$C$7)/(($A7-F$4)-Assumptions!$C$4),Assumptions!$C$2*(1+($A7-F$4))^Assumptions!$C$7+Assumptions!$C$3*Assumptions!$C$7*(1+Assumptions!$C$4)^(Assumptions!$C$7-1))</f>
        <v>414704.8893853</v>
      </c>
    </row>
    <row r="8" customFormat="false" ht="15" hidden="false" customHeight="false" outlineLevel="0" collapsed="false">
      <c r="A8" s="10" t="n">
        <v>0.05</v>
      </c>
      <c r="B8" s="11" t="n">
        <f aca="false">IFERROR(Assumptions!$C$2*(1+($A8-B$4))^Assumptions!$C$7+Assumptions!$C$3*((1+($A8-B$4))^Assumptions!$C$7-(1+Assumptions!$C$4)^Assumptions!$C$7)/(($A8-B$4)-Assumptions!$C$4),Assumptions!$C$2*(1+($A8-B$4))^Assumptions!$C$7+Assumptions!$C$3*Assumptions!$C$7*(1+Assumptions!$C$4)^(Assumptions!$C$7-1))</f>
        <v>458879.594868276</v>
      </c>
      <c r="C8" s="11" t="n">
        <f aca="false">IFERROR(Assumptions!$C$2*(1+($A8-C$4))^Assumptions!$C$7+Assumptions!$C$3*((1+($A8-C$4))^Assumptions!$C$7-(1+Assumptions!$C$4)^Assumptions!$C$7)/(($A8-C$4)-Assumptions!$C$4),Assumptions!$C$2*(1+($A8-C$4))^Assumptions!$C$7+Assumptions!$C$3*Assumptions!$C$7*(1+Assumptions!$C$4)^(Assumptions!$C$7-1))</f>
        <v>453082.252032962</v>
      </c>
      <c r="D8" s="11" t="n">
        <f aca="false">IFERROR(Assumptions!$C$2*(1+($A8-D$4))^Assumptions!$C$7+Assumptions!$C$3*((1+($A8-D$4))^Assumptions!$C$7-(1+Assumptions!$C$4)^Assumptions!$C$7)/(($A8-D$4)-Assumptions!$C$4),Assumptions!$C$2*(1+($A8-D$4))^Assumptions!$C$7+Assumptions!$C$3*Assumptions!$C$7*(1+Assumptions!$C$4)^(Assumptions!$C$7-1))</f>
        <v>450213.967097501</v>
      </c>
      <c r="E8" s="11" t="n">
        <f aca="false">IFERROR(Assumptions!$C$2*(1+($A8-E$4))^Assumptions!$C$7+Assumptions!$C$3*((1+($A8-E$4))^Assumptions!$C$7-(1+Assumptions!$C$4)^Assumptions!$C$7)/(($A8-E$4)-Assumptions!$C$4),Assumptions!$C$2*(1+($A8-E$4))^Assumptions!$C$7+Assumptions!$C$3*Assumptions!$C$7*(1+Assumptions!$C$4)^(Assumptions!$C$7-1))</f>
        <v>447365.758451375</v>
      </c>
      <c r="F8" s="11" t="n">
        <f aca="false">IFERROR(Assumptions!$C$2*(1+($A8-F$4))^Assumptions!$C$7+Assumptions!$C$3*((1+($A8-F$4))^Assumptions!$C$7-(1+Assumptions!$C$4)^Assumptions!$C$7)/(($A8-F$4)-Assumptions!$C$4),Assumptions!$C$2*(1+($A8-F$4))^Assumptions!$C$7+Assumptions!$C$3*Assumptions!$C$7*(1+Assumptions!$C$4)^(Assumptions!$C$7-1))</f>
        <v>441729.030916111</v>
      </c>
    </row>
    <row r="9" customFormat="false" ht="15" hidden="false" customHeight="false" outlineLevel="0" collapsed="false">
      <c r="A9" s="10" t="n">
        <v>0.06</v>
      </c>
      <c r="B9" s="11" t="n">
        <f aca="false">IFERROR(Assumptions!$C$2*(1+($A9-B$4))^Assumptions!$C$7+Assumptions!$C$3*((1+($A9-B$4))^Assumptions!$C$7-(1+Assumptions!$C$4)^Assumptions!$C$7)/(($A9-B$4)-Assumptions!$C$4),Assumptions!$C$2*(1+($A9-B$4))^Assumptions!$C$7+Assumptions!$C$3*Assumptions!$C$7*(1+Assumptions!$C$4)^(Assumptions!$C$7-1))</f>
        <v>489117.903867952</v>
      </c>
      <c r="C9" s="11" t="n">
        <f aca="false">IFERROR(Assumptions!$C$2*(1+($A9-C$4))^Assumptions!$C$7+Assumptions!$C$3*((1+($A9-C$4))^Assumptions!$C$7-(1+Assumptions!$C$4)^Assumptions!$C$7)/(($A9-C$4)-Assumptions!$C$4),Assumptions!$C$2*(1+($A9-C$4))^Assumptions!$C$7+Assumptions!$C$3*Assumptions!$C$7*(1+Assumptions!$C$4)^(Assumptions!$C$7-1))</f>
        <v>482899.593753721</v>
      </c>
      <c r="D9" s="11" t="n">
        <f aca="false">IFERROR(Assumptions!$C$2*(1+($A9-D$4))^Assumptions!$C$7+Assumptions!$C$3*((1+($A9-D$4))^Assumptions!$C$7-(1+Assumptions!$C$4)^Assumptions!$C$7)/(($A9-D$4)-Assumptions!$C$4),Assumptions!$C$2*(1+($A9-D$4))^Assumptions!$C$7+Assumptions!$C$3*Assumptions!$C$7*(1+Assumptions!$C$4)^(Assumptions!$C$7-1))</f>
        <v>479822.936753291</v>
      </c>
      <c r="E9" s="11" t="n">
        <f aca="false">IFERROR(Assumptions!$C$2*(1+($A9-E$4))^Assumptions!$C$7+Assumptions!$C$3*((1+($A9-E$4))^Assumptions!$C$7-(1+Assumptions!$C$4)^Assumptions!$C$7)/(($A9-E$4)-Assumptions!$C$4),Assumptions!$C$2*(1+($A9-E$4))^Assumptions!$C$7+Assumptions!$C$3*Assumptions!$C$7*(1+Assumptions!$C$4)^(Assumptions!$C$7-1))</f>
        <v>476767.752331368</v>
      </c>
      <c r="F9" s="11" t="n">
        <f aca="false">IFERROR(Assumptions!$C$2*(1+($A9-F$4))^Assumptions!$C$7+Assumptions!$C$3*((1+($A9-F$4))^Assumptions!$C$7-(1+Assumptions!$C$4)^Assumptions!$C$7)/(($A9-F$4)-Assumptions!$C$4),Assumptions!$C$2*(1+($A9-F$4))^Assumptions!$C$7+Assumptions!$C$3*Assumptions!$C$7*(1+Assumptions!$C$4)^(Assumptions!$C$7-1))</f>
        <v>470721.228105093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2026-09-06T07:53:32Z</dcterms:created>
  <dc:creator>openpyxl</dc:creator>
  <dc:description/>
  <dc:language>en-US</dc:language>
  <cp:lastModifiedBy/>
  <dcterms:modified xsi:type="dcterms:W3CDTF">2026-09-06T07:53:32Z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