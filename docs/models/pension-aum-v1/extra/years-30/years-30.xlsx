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lc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<sst xmlns="http://schemas.openxmlformats.org/spreadsheetml/2006/main" count="84" uniqueCount="76">
  <si>
    <t xml:space="preserve">מודל צבירה פנסיונית — דוגמה</t>
  </si>
  <si>
    <r>
      <rPr>
        <sz val="11"/>
        <color theme="1"/>
        <rFont val="FreeSans"/>
        <family val="2"/>
        <charset val="1"/>
      </rPr>
      <t xml:space="preserve">תאים לעריכה</t>
    </r>
    <r>
      <rPr>
        <sz val="11"/>
        <color theme="1"/>
        <rFont val="Calibri"/>
        <family val="2"/>
        <charset val="1"/>
      </rPr>
      <t xml:space="preserve">: Assumptions!C2:C6 (</t>
    </r>
    <r>
      <rPr>
        <sz val="11"/>
        <color theme="1"/>
        <rFont val="FreeSans"/>
        <family val="2"/>
        <charset val="1"/>
      </rPr>
      <t xml:space="preserve">כחול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  <charset val="1"/>
      </rPr>
      <t xml:space="preserve">אופק נקבע בבנייה עם </t>
    </r>
    <r>
      <rPr>
        <sz val="11"/>
        <color theme="1"/>
        <rFont val="Calibri"/>
        <family val="2"/>
        <charset val="1"/>
      </rPr>
      <t xml:space="preserve">--years (</t>
    </r>
    <r>
      <rPr>
        <sz val="11"/>
        <color theme="1"/>
        <rFont val="FreeSans"/>
        <family val="2"/>
        <charset val="1"/>
      </rPr>
      <t xml:space="preserve">אפור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</si>
  <si>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גרסה</t>
    </r>
    <r>
      <rPr>
        <sz val="11"/>
        <color theme="1"/>
        <rFont val="Calibri"/>
        <family val="2"/>
        <charset val="1"/>
      </rPr>
      <t xml:space="preserve">: 0.1</t>
    </r>
  </si>
  <si>
    <r>
      <rPr>
        <sz val="11"/>
        <color theme="1"/>
        <rFont val="FreeSans"/>
        <family val="2"/>
        <charset val="1"/>
      </rPr>
      <t xml:space="preserve">תאריך בנייה</t>
    </r>
    <r>
      <rPr>
        <sz val="11"/>
        <color theme="1"/>
        <rFont val="Calibri"/>
        <family val="2"/>
        <charset val="1"/>
      </rPr>
      <t xml:space="preserve">: (</t>
    </r>
    <r>
      <rPr>
        <sz val="11"/>
        <color theme="1"/>
        <rFont val="FreeSans"/>
        <family val="2"/>
        <charset val="1"/>
      </rPr>
      <t xml:space="preserve">נקבע בזמן הבנייה — ראה תא </t>
    </r>
    <r>
      <rPr>
        <sz val="11"/>
        <color theme="1"/>
        <rFont val="Calibri"/>
        <family val="2"/>
        <charset val="1"/>
      </rPr>
      <t xml:space="preserve">C4 </t>
    </r>
    <r>
      <rPr>
        <sz val="11"/>
        <color theme="1"/>
        <rFont val="FreeSans"/>
        <family val="2"/>
        <charset val="1"/>
      </rPr>
      <t xml:space="preserve">של </t>
    </r>
    <r>
      <rPr>
        <sz val="11"/>
        <color theme="1"/>
        <rFont val="Calibri"/>
        <family val="2"/>
        <charset val="1"/>
      </rPr>
      <t xml:space="preserve">Assumptions </t>
    </r>
    <r>
      <rPr>
        <sz val="11"/>
        <color theme="1"/>
        <rFont val="FreeSans"/>
        <family val="2"/>
        <charset val="1"/>
      </rPr>
      <t xml:space="preserve">אינו קיים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  <charset val="1"/>
      </rPr>
      <t xml:space="preserve">הבנייה דטרמיניסטית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</si>
  <si>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המודל מחשב בלבד — אינו ייעוץ פנסיוני</t>
    </r>
    <r>
      <rPr>
        <sz val="11"/>
        <color theme="1"/>
        <rFont val="Calibri"/>
        <family val="2"/>
        <charset val="1"/>
      </rPr>
      <t xml:space="preserve">.</t>
    </r>
  </si>
  <si>
    <t xml:space="preserve">key</t>
  </si>
  <si>
    <t xml:space="preserve">label</t>
  </si>
  <si>
    <t xml:space="preserve">value</t>
  </si>
  <si>
    <t xml:space="preserve">unit</t>
  </si>
  <si>
    <t xml:space="preserve">source</t>
  </si>
  <si>
    <t xml:space="preserve">p0</t>
  </si>
  <si>
    <t xml:space="preserve">צבירה קיימת</t>
  </si>
  <si>
    <t xml:space="preserve">₪</t>
  </si>
  <si>
    <t xml:space="preserve">המשתמש</t>
  </si>
  <si>
    <t xml:space="preserve">deposit0</t>
  </si>
  <si>
    <t xml:space="preserve">הפקדה שנתית התחלתית</t>
  </si>
  <si>
    <t xml:space="preserve">sal_growth</t>
  </si>
  <si>
    <t xml:space="preserve">עליית שכר שנתית</t>
  </si>
  <si>
    <t xml:space="preserve">%</t>
  </si>
  <si>
    <t xml:space="preserve">הנחה — לאישור</t>
  </si>
  <si>
    <t xml:space="preserve">return_lt</t>
  </si>
  <si>
    <t xml:space="preserve">תשואה שנתית</t>
  </si>
  <si>
    <t xml:space="preserve">fee_aum</t>
  </si>
  <si>
    <t xml:space="preserve">דמי ניהול מצבירה</t>
  </si>
  <si>
    <t xml:space="preserve">horizon</t>
  </si>
  <si>
    <r>
      <rPr>
        <sz val="11"/>
        <color theme="1"/>
        <rFont val="FreeSans"/>
        <family val="2"/>
        <charset val="1"/>
      </rPr>
      <t xml:space="preserve">אופק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שנים</t>
    </r>
    <r>
      <rPr>
        <sz val="11"/>
        <color theme="1"/>
        <rFont val="Calibri"/>
        <family val="2"/>
        <charset val="1"/>
      </rPr>
      <t xml:space="preserve">)</t>
    </r>
  </si>
  <si>
    <t xml:space="preserve">שנים</t>
  </si>
  <si>
    <t xml:space="preserve">CLI --years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</si>
  <si>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</si>
  <si>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</si>
  <si>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</si>
  <si>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</si>
  <si>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</si>
  <si>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</si>
  <si>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</si>
  <si>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</si>
  <si>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</si>
  <si>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</si>
  <si>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</si>
  <si>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</si>
  <si>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</si>
  <si>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</si>
  <si>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</si>
  <si>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</si>
  <si>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</si>
  <si>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</si>
  <si>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</si>
  <si>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</si>
  <si>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</si>
  <si>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</si>
  <si>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</si>
  <si>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</si>
  <si>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</si>
  <si>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</si>
  <si>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</si>
  <si>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</si>
  <si>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</si>
  <si>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</si>
  <si>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open</t>
  </si>
  <si>
    <t xml:space="preserve">יתרת פתיחה</t>
  </si>
  <si>
    <t xml:space="preserve">deposit</t>
  </si>
  <si>
    <t xml:space="preserve">הפקדה</t>
  </si>
  <si>
    <t xml:space="preserve">return</t>
  </si>
  <si>
    <t xml:space="preserve">תשואה</t>
  </si>
  <si>
    <t xml:space="preserve">fee</t>
  </si>
  <si>
    <t xml:space="preserve">דמי ניהול</t>
  </si>
  <si>
    <t xml:space="preserve">withdraw</t>
  </si>
  <si>
    <t xml:space="preserve">משיכה</t>
  </si>
  <si>
    <t xml:space="preserve">tax</t>
  </si>
  <si>
    <t xml:space="preserve">מס</t>
  </si>
  <si>
    <t xml:space="preserve">close</t>
  </si>
  <si>
    <t xml:space="preserve">יתרת סגירה</t>
  </si>
  <si>
    <t xml:space="preserve">cost_total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</si>
  <si>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עלויות</t>
    </r>
  </si>
  <si>
    <t xml:space="preserve">צבירה בסוף האופק</t>
  </si>
  <si>
    <r>
      <rPr>
        <sz val="11"/>
        <color theme="1"/>
        <rFont val="FreeSans"/>
        <family val="2"/>
        <charset val="1"/>
      </rPr>
      <t xml:space="preserve">ניתוח רגישות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צבירה סופית — תשואה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שורות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  <charset val="1"/>
      </rPr>
      <t xml:space="preserve">דמי ניהול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עמודות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</si>
</sst>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;\(#,##0\);\-"/>
    <numFmt numFmtId="167" formatCode="#,##0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rgb="FF0000FF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4.9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4.9" hidden="false" customHeight="false" outlineLevel="0" collapsed="false">
      <c r="A4" s="1" t="s">
        <v>3</v>
      </c>
    </row>
    <row r="5" customFormat="false" ht="14.9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3" t="n">
        <v>100000</v>
      </c>
      <c r="D2" s="2" t="s">
        <v>12</v>
      </c>
      <c r="E2" s="1" t="s">
        <v>13</v>
      </c>
    </row>
    <row r="3" customFormat="false" ht="15" hidden="false" customHeight="false" outlineLevel="0" collapsed="false">
      <c r="A3" s="2" t="s">
        <v>14</v>
      </c>
      <c r="B3" s="1" t="s">
        <v>15</v>
      </c>
      <c r="C3" s="3" t="n">
        <v>24000</v>
      </c>
      <c r="D3" s="2" t="s">
        <v>12</v>
      </c>
      <c r="E3" s="1" t="s">
        <v>13</v>
      </c>
    </row>
    <row r="4" customFormat="false" ht="15" hidden="false" customHeight="false" outlineLevel="0" collapsed="false">
      <c r="A4" s="2" t="s">
        <v>16</v>
      </c>
      <c r="B4" s="1" t="s">
        <v>17</v>
      </c>
      <c r="C4" s="4" t="n">
        <v>0.02</v>
      </c>
      <c r="D4" s="2" t="s">
        <v>18</v>
      </c>
      <c r="E4" s="1" t="s">
        <v>19</v>
      </c>
    </row>
    <row r="5" customFormat="false" ht="15" hidden="false" customHeight="false" outlineLevel="0" collapsed="false">
      <c r="A5" s="2" t="s">
        <v>20</v>
      </c>
      <c r="B5" s="1" t="s">
        <v>21</v>
      </c>
      <c r="C5" s="4" t="n">
        <v>0.04</v>
      </c>
      <c r="D5" s="2" t="s">
        <v>18</v>
      </c>
      <c r="E5" s="1" t="s">
        <v>19</v>
      </c>
    </row>
    <row r="6" customFormat="false" ht="15" hidden="false" customHeight="false" outlineLevel="0" collapsed="false">
      <c r="A6" s="2" t="s">
        <v>22</v>
      </c>
      <c r="B6" s="1" t="s">
        <v>23</v>
      </c>
      <c r="C6" s="5" t="n">
        <v>0.005</v>
      </c>
      <c r="D6" s="2" t="s">
        <v>18</v>
      </c>
      <c r="E6" s="1" t="s">
        <v>13</v>
      </c>
    </row>
    <row r="7" customFormat="false" ht="15" hidden="false" customHeight="false" outlineLevel="0" collapsed="false">
      <c r="A7" s="2" t="s">
        <v>24</v>
      </c>
      <c r="B7" s="1" t="s">
        <v>25</v>
      </c>
      <c r="C7" s="6" t="n">
        <v>30</v>
      </c>
      <c r="D7" s="1" t="s">
        <v>26</v>
      </c>
      <c r="E7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5</v>
      </c>
      <c r="B1" s="2" t="s">
        <v>6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</row>
    <row r="2" customFormat="false" ht="15" hidden="false" customHeight="false" outlineLevel="0" collapsed="false">
      <c r="A2" s="7" t="s">
        <v>58</v>
      </c>
      <c r="B2" s="1" t="s">
        <v>59</v>
      </c>
      <c r="C2" s="8" t="n">
        <f aca="false">Assumptions!$C$2</f>
        <v>100000</v>
      </c>
      <c r="D2" s="8" t="n">
        <f aca="false">C8</f>
        <v>127500</v>
      </c>
      <c r="E2" s="8" t="n">
        <f aca="false">D8</f>
        <v>156442.5</v>
      </c>
      <c r="F2" s="8" t="n">
        <f aca="false">E8</f>
        <v>186887.5875</v>
      </c>
      <c r="G2" s="8" t="n">
        <f aca="false">F8</f>
        <v>218897.6450625</v>
      </c>
      <c r="H2" s="8" t="n">
        <f aca="false">G8</f>
        <v>252537.434479688</v>
      </c>
      <c r="I2" s="8" t="n">
        <f aca="false">H8</f>
        <v>287874.183963277</v>
      </c>
      <c r="J2" s="8" t="n">
        <f aca="false">I8</f>
        <v>324977.678464327</v>
      </c>
      <c r="K2" s="8" t="n">
        <f aca="false">J8</f>
        <v>363920.353234161</v>
      </c>
      <c r="L2" s="8" t="n">
        <f aca="false">K8</f>
        <v>404777.390741412</v>
      </c>
      <c r="M2" s="8" t="n">
        <f aca="false">L8</f>
        <v>447626.821064296</v>
      </c>
      <c r="N2" s="8" t="n">
        <f aca="false">M8</f>
        <v>492549.625881421</v>
      </c>
      <c r="O2" s="8" t="n">
        <f aca="false">N8</f>
        <v>539629.846188742</v>
      </c>
      <c r="P2" s="8" t="n">
        <f aca="false">O8</f>
        <v>588954.693874849</v>
      </c>
      <c r="Q2" s="8" t="n">
        <f aca="false">P8</f>
        <v>640614.66729136</v>
      </c>
      <c r="R2" s="8" t="n">
        <f aca="false">Q8</f>
        <v>694703.670960067</v>
      </c>
      <c r="S2" s="8" t="n">
        <f aca="false">R8</f>
        <v>751319.139563448</v>
      </c>
      <c r="T2" s="8" t="n">
        <f aca="false">S8</f>
        <v>810562.166370343</v>
      </c>
      <c r="U2" s="8" t="n">
        <f aca="false">T8</f>
        <v>872537.636253924</v>
      </c>
      <c r="V2" s="8" t="n">
        <f aca="false">U8</f>
        <v>937354.363464642</v>
      </c>
      <c r="W2" s="8" t="n">
        <f aca="false">V8</f>
        <v>1005125.23432657</v>
      </c>
      <c r="X2" s="8" t="n">
        <f aca="false">W8</f>
        <v>1075967.35503148</v>
      </c>
      <c r="Y2" s="8" t="n">
        <f aca="false">X8</f>
        <v>1150002.20471113</v>
      </c>
      <c r="Z2" s="8" t="n">
        <f aca="false">Y8</f>
        <v>1227355.79397464</v>
      </c>
      <c r="AA2" s="8" t="n">
        <f aca="false">Z8</f>
        <v>1308158.82910435</v>
      </c>
      <c r="AB2" s="8" t="n">
        <f aca="false">AA8</f>
        <v>1392546.88211041</v>
      </c>
      <c r="AC2" s="8" t="n">
        <f aca="false">AB8</f>
        <v>1480660.56685143</v>
      </c>
      <c r="AD2" s="8" t="n">
        <f aca="false">AC8</f>
        <v>1572645.72143572</v>
      </c>
      <c r="AE2" s="8" t="n">
        <f aca="false">AD8</f>
        <v>1668653.59712536</v>
      </c>
      <c r="AF2" s="8" t="n">
        <f aca="false">AE8</f>
        <v>1768841.05397292</v>
      </c>
    </row>
    <row r="3" customFormat="false" ht="15" hidden="false" customHeight="false" outlineLevel="0" collapsed="false">
      <c r="A3" s="7" t="s">
        <v>60</v>
      </c>
      <c r="B3" s="1" t="s">
        <v>61</v>
      </c>
      <c r="C3" s="8" t="n">
        <f aca="false">Assumptions!$C$3*(1+Assumptions!$C$4)^(C$1-1)</f>
        <v>24000</v>
      </c>
      <c r="D3" s="8" t="n">
        <f aca="false">Assumptions!$C$3*(1+Assumptions!$C$4)^(D$1-1)</f>
        <v>24480</v>
      </c>
      <c r="E3" s="8" t="n">
        <f aca="false">Assumptions!$C$3*(1+Assumptions!$C$4)^(E$1-1)</f>
        <v>24969.6</v>
      </c>
      <c r="F3" s="8" t="n">
        <f aca="false">Assumptions!$C$3*(1+Assumptions!$C$4)^(F$1-1)</f>
        <v>25468.992</v>
      </c>
      <c r="G3" s="8" t="n">
        <f aca="false">Assumptions!$C$3*(1+Assumptions!$C$4)^(G$1-1)</f>
        <v>25978.37184</v>
      </c>
      <c r="H3" s="8" t="n">
        <f aca="false">Assumptions!$C$3*(1+Assumptions!$C$4)^(H$1-1)</f>
        <v>26497.9392768</v>
      </c>
      <c r="I3" s="8" t="n">
        <f aca="false">Assumptions!$C$3*(1+Assumptions!$C$4)^(I$1-1)</f>
        <v>27027.898062336</v>
      </c>
      <c r="J3" s="8" t="n">
        <f aca="false">Assumptions!$C$3*(1+Assumptions!$C$4)^(J$1-1)</f>
        <v>27568.4560235827</v>
      </c>
      <c r="K3" s="8" t="n">
        <f aca="false">Assumptions!$C$3*(1+Assumptions!$C$4)^(K$1-1)</f>
        <v>28119.8251440544</v>
      </c>
      <c r="L3" s="8" t="n">
        <f aca="false">Assumptions!$C$3*(1+Assumptions!$C$4)^(L$1-1)</f>
        <v>28682.2216469355</v>
      </c>
      <c r="M3" s="8" t="n">
        <f aca="false">Assumptions!$C$3*(1+Assumptions!$C$4)^(M$1-1)</f>
        <v>29255.8660798742</v>
      </c>
      <c r="N3" s="8" t="n">
        <f aca="false">Assumptions!$C$3*(1+Assumptions!$C$4)^(N$1-1)</f>
        <v>29840.9834014717</v>
      </c>
      <c r="O3" s="8" t="n">
        <f aca="false">Assumptions!$C$3*(1+Assumptions!$C$4)^(O$1-1)</f>
        <v>30437.8030695011</v>
      </c>
      <c r="P3" s="8" t="n">
        <f aca="false">Assumptions!$C$3*(1+Assumptions!$C$4)^(P$1-1)</f>
        <v>31046.5591308911</v>
      </c>
      <c r="Q3" s="8" t="n">
        <f aca="false">Assumptions!$C$3*(1+Assumptions!$C$4)^(Q$1-1)</f>
        <v>31667.4903135089</v>
      </c>
      <c r="R3" s="8" t="n">
        <f aca="false">Assumptions!$C$3*(1+Assumptions!$C$4)^(R$1-1)</f>
        <v>32300.8401197791</v>
      </c>
      <c r="S3" s="8" t="n">
        <f aca="false">Assumptions!$C$3*(1+Assumptions!$C$4)^(S$1-1)</f>
        <v>32946.8569221747</v>
      </c>
      <c r="T3" s="8" t="n">
        <f aca="false">Assumptions!$C$3*(1+Assumptions!$C$4)^(T$1-1)</f>
        <v>33605.7940606182</v>
      </c>
      <c r="U3" s="8" t="n">
        <f aca="false">Assumptions!$C$3*(1+Assumptions!$C$4)^(U$1-1)</f>
        <v>34277.9099418306</v>
      </c>
      <c r="V3" s="8" t="n">
        <f aca="false">Assumptions!$C$3*(1+Assumptions!$C$4)^(V$1-1)</f>
        <v>34963.4681406672</v>
      </c>
      <c r="W3" s="8" t="n">
        <f aca="false">Assumptions!$C$3*(1+Assumptions!$C$4)^(W$1-1)</f>
        <v>35662.7375034805</v>
      </c>
      <c r="X3" s="8" t="n">
        <f aca="false">Assumptions!$C$3*(1+Assumptions!$C$4)^(X$1-1)</f>
        <v>36375.9922535501</v>
      </c>
      <c r="Y3" s="8" t="n">
        <f aca="false">Assumptions!$C$3*(1+Assumptions!$C$4)^(Y$1-1)</f>
        <v>37103.5120986211</v>
      </c>
      <c r="Z3" s="8" t="n">
        <f aca="false">Assumptions!$C$3*(1+Assumptions!$C$4)^(Z$1-1)</f>
        <v>37845.5823405936</v>
      </c>
      <c r="AA3" s="8" t="n">
        <f aca="false">Assumptions!$C$3*(1+Assumptions!$C$4)^(AA$1-1)</f>
        <v>38602.4939874054</v>
      </c>
      <c r="AB3" s="8" t="n">
        <f aca="false">Assumptions!$C$3*(1+Assumptions!$C$4)^(AB$1-1)</f>
        <v>39374.5438671535</v>
      </c>
      <c r="AC3" s="8" t="n">
        <f aca="false">Assumptions!$C$3*(1+Assumptions!$C$4)^(AC$1-1)</f>
        <v>40162.0347444966</v>
      </c>
      <c r="AD3" s="8" t="n">
        <f aca="false">Assumptions!$C$3*(1+Assumptions!$C$4)^(AD$1-1)</f>
        <v>40965.2754393865</v>
      </c>
      <c r="AE3" s="8" t="n">
        <f aca="false">Assumptions!$C$3*(1+Assumptions!$C$4)^(AE$1-1)</f>
        <v>41784.5809481743</v>
      </c>
      <c r="AF3" s="8" t="n">
        <f aca="false">Assumptions!$C$3*(1+Assumptions!$C$4)^(AF$1-1)</f>
        <v>42620.2725671378</v>
      </c>
    </row>
    <row r="4" customFormat="false" ht="15" hidden="false" customHeight="false" outlineLevel="0" collapsed="false">
      <c r="A4" s="7" t="s">
        <v>62</v>
      </c>
      <c r="B4" s="1" t="s">
        <v>63</v>
      </c>
      <c r="C4" s="8" t="n">
        <f aca="false">C2*Assumptions!$C$5</f>
        <v>4000</v>
      </c>
      <c r="D4" s="8" t="n">
        <f aca="false">D2*Assumptions!$C$5</f>
        <v>5100</v>
      </c>
      <c r="E4" s="8" t="n">
        <f aca="false">E2*Assumptions!$C$5</f>
        <v>6257.7</v>
      </c>
      <c r="F4" s="8" t="n">
        <f aca="false">F2*Assumptions!$C$5</f>
        <v>7475.5035</v>
      </c>
      <c r="G4" s="8" t="n">
        <f aca="false">G2*Assumptions!$C$5</f>
        <v>8755.9058025</v>
      </c>
      <c r="H4" s="8" t="n">
        <f aca="false">H2*Assumptions!$C$5</f>
        <v>10101.4973791875</v>
      </c>
      <c r="I4" s="8" t="n">
        <f aca="false">I2*Assumptions!$C$5</f>
        <v>11514.9673585311</v>
      </c>
      <c r="J4" s="8" t="n">
        <f aca="false">J2*Assumptions!$C$5</f>
        <v>12999.1071385731</v>
      </c>
      <c r="K4" s="8" t="n">
        <f aca="false">K2*Assumptions!$C$5</f>
        <v>14556.8141293665</v>
      </c>
      <c r="L4" s="8" t="n">
        <f aca="false">L2*Assumptions!$C$5</f>
        <v>16191.0956296565</v>
      </c>
      <c r="M4" s="8" t="n">
        <f aca="false">M2*Assumptions!$C$5</f>
        <v>17905.0728425719</v>
      </c>
      <c r="N4" s="8" t="n">
        <f aca="false">N2*Assumptions!$C$5</f>
        <v>19701.9850352568</v>
      </c>
      <c r="O4" s="8" t="n">
        <f aca="false">O2*Assumptions!$C$5</f>
        <v>21585.1938475497</v>
      </c>
      <c r="P4" s="8" t="n">
        <f aca="false">P2*Assumptions!$C$5</f>
        <v>23558.187754994</v>
      </c>
      <c r="Q4" s="8" t="n">
        <f aca="false">Q2*Assumptions!$C$5</f>
        <v>25624.5866916544</v>
      </c>
      <c r="R4" s="8" t="n">
        <f aca="false">R2*Assumptions!$C$5</f>
        <v>27788.1468384027</v>
      </c>
      <c r="S4" s="8" t="n">
        <f aca="false">S2*Assumptions!$C$5</f>
        <v>30052.7655825379</v>
      </c>
      <c r="T4" s="8" t="n">
        <f aca="false">T2*Assumptions!$C$5</f>
        <v>32422.4866548137</v>
      </c>
      <c r="U4" s="8" t="n">
        <f aca="false">U2*Assumptions!$C$5</f>
        <v>34901.505450157</v>
      </c>
      <c r="V4" s="8" t="n">
        <f aca="false">V2*Assumptions!$C$5</f>
        <v>37494.1745385857</v>
      </c>
      <c r="W4" s="8" t="n">
        <f aca="false">W2*Assumptions!$C$5</f>
        <v>40205.0093730629</v>
      </c>
      <c r="X4" s="8" t="n">
        <f aca="false">X2*Assumptions!$C$5</f>
        <v>43038.6942012593</v>
      </c>
      <c r="Y4" s="8" t="n">
        <f aca="false">Y2*Assumptions!$C$5</f>
        <v>46000.0881884454</v>
      </c>
      <c r="Z4" s="8" t="n">
        <f aca="false">Z2*Assumptions!$C$5</f>
        <v>49094.2317589858</v>
      </c>
      <c r="AA4" s="8" t="n">
        <f aca="false">AA2*Assumptions!$C$5</f>
        <v>52326.353164174</v>
      </c>
      <c r="AB4" s="8" t="n">
        <f aca="false">AB2*Assumptions!$C$5</f>
        <v>55701.8752844163</v>
      </c>
      <c r="AC4" s="8" t="n">
        <f aca="false">AC2*Assumptions!$C$5</f>
        <v>59226.422674057</v>
      </c>
      <c r="AD4" s="8" t="n">
        <f aca="false">AD2*Assumptions!$C$5</f>
        <v>62905.8288574289</v>
      </c>
      <c r="AE4" s="8" t="n">
        <f aca="false">AE2*Assumptions!$C$5</f>
        <v>66746.1438850144</v>
      </c>
      <c r="AF4" s="8" t="n">
        <f aca="false">AF2*Assumptions!$C$5</f>
        <v>70753.6421589169</v>
      </c>
    </row>
    <row r="5" customFormat="false" ht="15" hidden="false" customHeight="false" outlineLevel="0" collapsed="false">
      <c r="A5" s="7" t="s">
        <v>64</v>
      </c>
      <c r="B5" s="1" t="s">
        <v>65</v>
      </c>
      <c r="C5" s="8" t="n">
        <f aca="false">C2*Assumptions!$C$6</f>
        <v>500</v>
      </c>
      <c r="D5" s="8" t="n">
        <f aca="false">D2*Assumptions!$C$6</f>
        <v>637.5</v>
      </c>
      <c r="E5" s="8" t="n">
        <f aca="false">E2*Assumptions!$C$6</f>
        <v>782.2125</v>
      </c>
      <c r="F5" s="8" t="n">
        <f aca="false">F2*Assumptions!$C$6</f>
        <v>934.4379375</v>
      </c>
      <c r="G5" s="8" t="n">
        <f aca="false">G2*Assumptions!$C$6</f>
        <v>1094.4882253125</v>
      </c>
      <c r="H5" s="8" t="n">
        <f aca="false">H2*Assumptions!$C$6</f>
        <v>1262.68717239844</v>
      </c>
      <c r="I5" s="8" t="n">
        <f aca="false">I2*Assumptions!$C$6</f>
        <v>1439.37091981638</v>
      </c>
      <c r="J5" s="8" t="n">
        <f aca="false">J2*Assumptions!$C$6</f>
        <v>1624.88839232164</v>
      </c>
      <c r="K5" s="8" t="n">
        <f aca="false">K2*Assumptions!$C$6</f>
        <v>1819.60176617081</v>
      </c>
      <c r="L5" s="8" t="n">
        <f aca="false">L2*Assumptions!$C$6</f>
        <v>2023.88695370706</v>
      </c>
      <c r="M5" s="8" t="n">
        <f aca="false">M2*Assumptions!$C$6</f>
        <v>2238.13410532148</v>
      </c>
      <c r="N5" s="8" t="n">
        <f aca="false">N2*Assumptions!$C$6</f>
        <v>2462.7481294071</v>
      </c>
      <c r="O5" s="8" t="n">
        <f aca="false">O2*Assumptions!$C$6</f>
        <v>2698.14923094371</v>
      </c>
      <c r="P5" s="8" t="n">
        <f aca="false">P2*Assumptions!$C$6</f>
        <v>2944.77346937425</v>
      </c>
      <c r="Q5" s="8" t="n">
        <f aca="false">Q2*Assumptions!$C$6</f>
        <v>3203.0733364568</v>
      </c>
      <c r="R5" s="8" t="n">
        <f aca="false">R2*Assumptions!$C$6</f>
        <v>3473.51835480033</v>
      </c>
      <c r="S5" s="8" t="n">
        <f aca="false">S2*Assumptions!$C$6</f>
        <v>3756.59569781724</v>
      </c>
      <c r="T5" s="8" t="n">
        <f aca="false">T2*Assumptions!$C$6</f>
        <v>4052.81083185172</v>
      </c>
      <c r="U5" s="8" t="n">
        <f aca="false">U2*Assumptions!$C$6</f>
        <v>4362.68818126962</v>
      </c>
      <c r="V5" s="8" t="n">
        <f aca="false">V2*Assumptions!$C$6</f>
        <v>4686.77181732321</v>
      </c>
      <c r="W5" s="8" t="n">
        <f aca="false">W2*Assumptions!$C$6</f>
        <v>5025.62617163286</v>
      </c>
      <c r="X5" s="8" t="n">
        <f aca="false">X2*Assumptions!$C$6</f>
        <v>5379.83677515741</v>
      </c>
      <c r="Y5" s="8" t="n">
        <f aca="false">Y2*Assumptions!$C$6</f>
        <v>5750.01102355567</v>
      </c>
      <c r="Z5" s="8" t="n">
        <f aca="false">Z2*Assumptions!$C$6</f>
        <v>6136.77896987322</v>
      </c>
      <c r="AA5" s="8" t="n">
        <f aca="false">AA2*Assumptions!$C$6</f>
        <v>6540.79414552175</v>
      </c>
      <c r="AB5" s="8" t="n">
        <f aca="false">AB2*Assumptions!$C$6</f>
        <v>6962.73441055204</v>
      </c>
      <c r="AC5" s="8" t="n">
        <f aca="false">AC2*Assumptions!$C$6</f>
        <v>7403.30283425713</v>
      </c>
      <c r="AD5" s="8" t="n">
        <f aca="false">AD2*Assumptions!$C$6</f>
        <v>7863.22860717862</v>
      </c>
      <c r="AE5" s="8" t="n">
        <f aca="false">AE2*Assumptions!$C$6</f>
        <v>8343.2679856268</v>
      </c>
      <c r="AF5" s="8" t="n">
        <f aca="false">AF2*Assumptions!$C$6</f>
        <v>8844.20526986461</v>
      </c>
    </row>
    <row r="6" customFormat="false" ht="15" hidden="false" customHeight="false" outlineLevel="0" collapsed="false">
      <c r="A6" s="7" t="s">
        <v>66</v>
      </c>
      <c r="B6" s="1" t="s">
        <v>67</v>
      </c>
      <c r="C6" s="8" t="n">
        <f aca="false">0*C2</f>
        <v>0</v>
      </c>
      <c r="D6" s="8" t="n">
        <f aca="false">0*D2</f>
        <v>0</v>
      </c>
      <c r="E6" s="8" t="n">
        <f aca="false">0*E2</f>
        <v>0</v>
      </c>
      <c r="F6" s="8" t="n">
        <f aca="false">0*F2</f>
        <v>0</v>
      </c>
      <c r="G6" s="8" t="n">
        <f aca="false">0*G2</f>
        <v>0</v>
      </c>
      <c r="H6" s="8" t="n">
        <f aca="false">0*H2</f>
        <v>0</v>
      </c>
      <c r="I6" s="8" t="n">
        <f aca="false">0*I2</f>
        <v>0</v>
      </c>
      <c r="J6" s="8" t="n">
        <f aca="false">0*J2</f>
        <v>0</v>
      </c>
      <c r="K6" s="8" t="n">
        <f aca="false">0*K2</f>
        <v>0</v>
      </c>
      <c r="L6" s="8" t="n">
        <f aca="false">0*L2</f>
        <v>0</v>
      </c>
      <c r="M6" s="8" t="n">
        <f aca="false">0*M2</f>
        <v>0</v>
      </c>
      <c r="N6" s="8" t="n">
        <f aca="false">0*N2</f>
        <v>0</v>
      </c>
      <c r="O6" s="8" t="n">
        <f aca="false">0*O2</f>
        <v>0</v>
      </c>
      <c r="P6" s="8" t="n">
        <f aca="false">0*P2</f>
        <v>0</v>
      </c>
      <c r="Q6" s="8" t="n">
        <f aca="false">0*Q2</f>
        <v>0</v>
      </c>
      <c r="R6" s="8" t="n">
        <f aca="false">0*R2</f>
        <v>0</v>
      </c>
      <c r="S6" s="8" t="n">
        <f aca="false">0*S2</f>
        <v>0</v>
      </c>
      <c r="T6" s="8" t="n">
        <f aca="false">0*T2</f>
        <v>0</v>
      </c>
      <c r="U6" s="8" t="n">
        <f aca="false">0*U2</f>
        <v>0</v>
      </c>
      <c r="V6" s="8" t="n">
        <f aca="false">0*V2</f>
        <v>0</v>
      </c>
      <c r="W6" s="8" t="n">
        <f aca="false">0*W2</f>
        <v>0</v>
      </c>
      <c r="X6" s="8" t="n">
        <f aca="false">0*X2</f>
        <v>0</v>
      </c>
      <c r="Y6" s="8" t="n">
        <f aca="false">0*Y2</f>
        <v>0</v>
      </c>
      <c r="Z6" s="8" t="n">
        <f aca="false">0*Z2</f>
        <v>0</v>
      </c>
      <c r="AA6" s="8" t="n">
        <f aca="false">0*AA2</f>
        <v>0</v>
      </c>
      <c r="AB6" s="8" t="n">
        <f aca="false">0*AB2</f>
        <v>0</v>
      </c>
      <c r="AC6" s="8" t="n">
        <f aca="false">0*AC2</f>
        <v>0</v>
      </c>
      <c r="AD6" s="8" t="n">
        <f aca="false">0*AD2</f>
        <v>0</v>
      </c>
      <c r="AE6" s="8" t="n">
        <f aca="false">0*AE2</f>
        <v>0</v>
      </c>
      <c r="AF6" s="8" t="n">
        <f aca="false">0*AF2</f>
        <v>0</v>
      </c>
    </row>
    <row r="7" customFormat="false" ht="15" hidden="false" customHeight="false" outlineLevel="0" collapsed="false">
      <c r="A7" s="7" t="s">
        <v>68</v>
      </c>
      <c r="B7" s="1" t="s">
        <v>69</v>
      </c>
      <c r="C7" s="8" t="n">
        <f aca="false">0*C6</f>
        <v>0</v>
      </c>
      <c r="D7" s="8" t="n">
        <f aca="false">0*D6</f>
        <v>0</v>
      </c>
      <c r="E7" s="8" t="n">
        <f aca="false">0*E6</f>
        <v>0</v>
      </c>
      <c r="F7" s="8" t="n">
        <f aca="false">0*F6</f>
        <v>0</v>
      </c>
      <c r="G7" s="8" t="n">
        <f aca="false">0*G6</f>
        <v>0</v>
      </c>
      <c r="H7" s="8" t="n">
        <f aca="false">0*H6</f>
        <v>0</v>
      </c>
      <c r="I7" s="8" t="n">
        <f aca="false">0*I6</f>
        <v>0</v>
      </c>
      <c r="J7" s="8" t="n">
        <f aca="false">0*J6</f>
        <v>0</v>
      </c>
      <c r="K7" s="8" t="n">
        <f aca="false">0*K6</f>
        <v>0</v>
      </c>
      <c r="L7" s="8" t="n">
        <f aca="false">0*L6</f>
        <v>0</v>
      </c>
      <c r="M7" s="8" t="n">
        <f aca="false">0*M6</f>
        <v>0</v>
      </c>
      <c r="N7" s="8" t="n">
        <f aca="false">0*N6</f>
        <v>0</v>
      </c>
      <c r="O7" s="8" t="n">
        <f aca="false">0*O6</f>
        <v>0</v>
      </c>
      <c r="P7" s="8" t="n">
        <f aca="false">0*P6</f>
        <v>0</v>
      </c>
      <c r="Q7" s="8" t="n">
        <f aca="false">0*Q6</f>
        <v>0</v>
      </c>
      <c r="R7" s="8" t="n">
        <f aca="false">0*R6</f>
        <v>0</v>
      </c>
      <c r="S7" s="8" t="n">
        <f aca="false">0*S6</f>
        <v>0</v>
      </c>
      <c r="T7" s="8" t="n">
        <f aca="false">0*T6</f>
        <v>0</v>
      </c>
      <c r="U7" s="8" t="n">
        <f aca="false">0*U6</f>
        <v>0</v>
      </c>
      <c r="V7" s="8" t="n">
        <f aca="false">0*V6</f>
        <v>0</v>
      </c>
      <c r="W7" s="8" t="n">
        <f aca="false">0*W6</f>
        <v>0</v>
      </c>
      <c r="X7" s="8" t="n">
        <f aca="false">0*X6</f>
        <v>0</v>
      </c>
      <c r="Y7" s="8" t="n">
        <f aca="false">0*Y6</f>
        <v>0</v>
      </c>
      <c r="Z7" s="8" t="n">
        <f aca="false">0*Z6</f>
        <v>0</v>
      </c>
      <c r="AA7" s="8" t="n">
        <f aca="false">0*AA6</f>
        <v>0</v>
      </c>
      <c r="AB7" s="8" t="n">
        <f aca="false">0*AB6</f>
        <v>0</v>
      </c>
      <c r="AC7" s="8" t="n">
        <f aca="false">0*AC6</f>
        <v>0</v>
      </c>
      <c r="AD7" s="8" t="n">
        <f aca="false">0*AD6</f>
        <v>0</v>
      </c>
      <c r="AE7" s="8" t="n">
        <f aca="false">0*AE6</f>
        <v>0</v>
      </c>
      <c r="AF7" s="8" t="n">
        <f aca="false">0*AF6</f>
        <v>0</v>
      </c>
    </row>
    <row r="8" customFormat="false" ht="15" hidden="false" customHeight="false" outlineLevel="0" collapsed="false">
      <c r="A8" s="7" t="s">
        <v>70</v>
      </c>
      <c r="B8" s="1" t="s">
        <v>71</v>
      </c>
      <c r="C8" s="8" t="n">
        <f aca="false">C2+C3+C4-C5-C6-C7</f>
        <v>127500</v>
      </c>
      <c r="D8" s="8" t="n">
        <f aca="false">D2+D3+D4-D5-D6-D7</f>
        <v>156442.5</v>
      </c>
      <c r="E8" s="8" t="n">
        <f aca="false">E2+E3+E4-E5-E6-E7</f>
        <v>186887.5875</v>
      </c>
      <c r="F8" s="8" t="n">
        <f aca="false">F2+F3+F4-F5-F6-F7</f>
        <v>218897.6450625</v>
      </c>
      <c r="G8" s="8" t="n">
        <f aca="false">G2+G3+G4-G5-G6-G7</f>
        <v>252537.434479688</v>
      </c>
      <c r="H8" s="8" t="n">
        <f aca="false">H2+H3+H4-H5-H6-H7</f>
        <v>287874.183963277</v>
      </c>
      <c r="I8" s="8" t="n">
        <f aca="false">I2+I3+I4-I5-I6-I7</f>
        <v>324977.678464327</v>
      </c>
      <c r="J8" s="8" t="n">
        <f aca="false">J2+J3+J4-J5-J6-J7</f>
        <v>363920.353234161</v>
      </c>
      <c r="K8" s="8" t="n">
        <f aca="false">K2+K3+K4-K5-K6-K7</f>
        <v>404777.390741412</v>
      </c>
      <c r="L8" s="8" t="n">
        <f aca="false">L2+L3+L4-L5-L6-L7</f>
        <v>447626.821064296</v>
      </c>
      <c r="M8" s="8" t="n">
        <f aca="false">M2+M3+M4-M5-M6-M7</f>
        <v>492549.625881421</v>
      </c>
      <c r="N8" s="8" t="n">
        <f aca="false">N2+N3+N4-N5-N6-N7</f>
        <v>539629.846188742</v>
      </c>
      <c r="O8" s="8" t="n">
        <f aca="false">O2+O3+O4-O5-O6-O7</f>
        <v>588954.693874849</v>
      </c>
      <c r="P8" s="8" t="n">
        <f aca="false">P2+P3+P4-P5-P6-P7</f>
        <v>640614.66729136</v>
      </c>
      <c r="Q8" s="8" t="n">
        <f aca="false">Q2+Q3+Q4-Q5-Q6-Q7</f>
        <v>694703.670960067</v>
      </c>
      <c r="R8" s="8" t="n">
        <f aca="false">R2+R3+R4-R5-R6-R7</f>
        <v>751319.139563448</v>
      </c>
      <c r="S8" s="8" t="n">
        <f aca="false">S2+S3+S4-S5-S6-S7</f>
        <v>810562.166370343</v>
      </c>
      <c r="T8" s="8" t="n">
        <f aca="false">T2+T3+T4-T5-T6-T7</f>
        <v>872537.636253924</v>
      </c>
      <c r="U8" s="8" t="n">
        <f aca="false">U2+U3+U4-U5-U6-U7</f>
        <v>937354.363464642</v>
      </c>
      <c r="V8" s="8" t="n">
        <f aca="false">V2+V3+V4-V5-V6-V7</f>
        <v>1005125.23432657</v>
      </c>
      <c r="W8" s="8" t="n">
        <f aca="false">W2+W3+W4-W5-W6-W7</f>
        <v>1075967.35503148</v>
      </c>
      <c r="X8" s="8" t="n">
        <f aca="false">X2+X3+X4-X5-X6-X7</f>
        <v>1150002.20471113</v>
      </c>
      <c r="Y8" s="8" t="n">
        <f aca="false">Y2+Y3+Y4-Y5-Y6-Y7</f>
        <v>1227355.79397464</v>
      </c>
      <c r="Z8" s="8" t="n">
        <f aca="false">Z2+Z3+Z4-Z5-Z6-Z7</f>
        <v>1308158.82910435</v>
      </c>
      <c r="AA8" s="8" t="n">
        <f aca="false">AA2+AA3+AA4-AA5-AA6-AA7</f>
        <v>1392546.88211041</v>
      </c>
      <c r="AB8" s="8" t="n">
        <f aca="false">AB2+AB3+AB4-AB5-AB6-AB7</f>
        <v>1480660.56685143</v>
      </c>
      <c r="AC8" s="8" t="n">
        <f aca="false">AC2+AC3+AC4-AC5-AC6-AC7</f>
        <v>1572645.72143572</v>
      </c>
      <c r="AD8" s="8" t="n">
        <f aca="false">AD2+AD3+AD4-AD5-AD6-AD7</f>
        <v>1668653.59712536</v>
      </c>
      <c r="AE8" s="8" t="n">
        <f aca="false">AE2+AE3+AE4-AE5-AE6-AE7</f>
        <v>1768841.05397292</v>
      </c>
      <c r="AF8" s="8" t="n">
        <f aca="false">AF2+AF3+AF4-AF5-AF6-AF7</f>
        <v>1873370.76342911</v>
      </c>
    </row>
    <row r="9" customFormat="false" ht="15" hidden="false" customHeight="false" outlineLevel="0" collapsed="false">
      <c r="A9" s="7" t="s">
        <v>72</v>
      </c>
      <c r="B9" s="1" t="s">
        <v>73</v>
      </c>
      <c r="C9" s="8" t="n">
        <f aca="false">SUM(C5:C7)</f>
        <v>500</v>
      </c>
      <c r="D9" s="8" t="n">
        <f aca="false">SUM(D5:D7)</f>
        <v>637.5</v>
      </c>
      <c r="E9" s="8" t="n">
        <f aca="false">SUM(E5:E7)</f>
        <v>782.2125</v>
      </c>
      <c r="F9" s="8" t="n">
        <f aca="false">SUM(F5:F7)</f>
        <v>934.4379375</v>
      </c>
      <c r="G9" s="8" t="n">
        <f aca="false">SUM(G5:G7)</f>
        <v>1094.4882253125</v>
      </c>
      <c r="H9" s="8" t="n">
        <f aca="false">SUM(H5:H7)</f>
        <v>1262.68717239844</v>
      </c>
      <c r="I9" s="8" t="n">
        <f aca="false">SUM(I5:I7)</f>
        <v>1439.37091981638</v>
      </c>
      <c r="J9" s="8" t="n">
        <f aca="false">SUM(J5:J7)</f>
        <v>1624.88839232164</v>
      </c>
      <c r="K9" s="8" t="n">
        <f aca="false">SUM(K5:K7)</f>
        <v>1819.60176617081</v>
      </c>
      <c r="L9" s="8" t="n">
        <f aca="false">SUM(L5:L7)</f>
        <v>2023.88695370706</v>
      </c>
      <c r="M9" s="8" t="n">
        <f aca="false">SUM(M5:M7)</f>
        <v>2238.13410532148</v>
      </c>
      <c r="N9" s="8" t="n">
        <f aca="false">SUM(N5:N7)</f>
        <v>2462.7481294071</v>
      </c>
      <c r="O9" s="8" t="n">
        <f aca="false">SUM(O5:O7)</f>
        <v>2698.14923094371</v>
      </c>
      <c r="P9" s="8" t="n">
        <f aca="false">SUM(P5:P7)</f>
        <v>2944.77346937425</v>
      </c>
      <c r="Q9" s="8" t="n">
        <f aca="false">SUM(Q5:Q7)</f>
        <v>3203.0733364568</v>
      </c>
      <c r="R9" s="8" t="n">
        <f aca="false">SUM(R5:R7)</f>
        <v>3473.51835480033</v>
      </c>
      <c r="S9" s="8" t="n">
        <f aca="false">SUM(S5:S7)</f>
        <v>3756.59569781724</v>
      </c>
      <c r="T9" s="8" t="n">
        <f aca="false">SUM(T5:T7)</f>
        <v>4052.81083185172</v>
      </c>
      <c r="U9" s="8" t="n">
        <f aca="false">SUM(U5:U7)</f>
        <v>4362.68818126962</v>
      </c>
      <c r="V9" s="8" t="n">
        <f aca="false">SUM(V5:V7)</f>
        <v>4686.77181732321</v>
      </c>
      <c r="W9" s="8" t="n">
        <f aca="false">SUM(W5:W7)</f>
        <v>5025.62617163286</v>
      </c>
      <c r="X9" s="8" t="n">
        <f aca="false">SUM(X5:X7)</f>
        <v>5379.83677515741</v>
      </c>
      <c r="Y9" s="8" t="n">
        <f aca="false">SUM(Y5:Y7)</f>
        <v>5750.01102355567</v>
      </c>
      <c r="Z9" s="8" t="n">
        <f aca="false">SUM(Z5:Z7)</f>
        <v>6136.77896987322</v>
      </c>
      <c r="AA9" s="8" t="n">
        <f aca="false">SUM(AA5:AA7)</f>
        <v>6540.79414552175</v>
      </c>
      <c r="AB9" s="8" t="n">
        <f aca="false">SUM(AB5:AB7)</f>
        <v>6962.73441055204</v>
      </c>
      <c r="AC9" s="8" t="n">
        <f aca="false">SUM(AC5:AC7)</f>
        <v>7403.30283425713</v>
      </c>
      <c r="AD9" s="8" t="n">
        <f aca="false">SUM(AD5:AD7)</f>
        <v>7863.22860717862</v>
      </c>
      <c r="AE9" s="8" t="n">
        <f aca="false">SUM(AE5:AE7)</f>
        <v>8343.2679856268</v>
      </c>
      <c r="AF9" s="8" t="n">
        <f aca="false">SUM(AF5:AF7)</f>
        <v>8844.20526986461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74</v>
      </c>
      <c r="B1" s="9" t="n">
        <f aca="false">Calc!AF8</f>
        <v>1873370.76342911</v>
      </c>
    </row>
    <row r="3" customFormat="false" ht="15" hidden="false" customHeight="false" outlineLevel="0" collapsed="false">
      <c r="A3" s="1" t="s">
        <v>75</v>
      </c>
    </row>
    <row r="4" customFormat="false" ht="15" hidden="false" customHeight="false" outlineLevel="0" collapsed="false">
      <c r="B4" s="10" t="n">
        <v>0.002</v>
      </c>
      <c r="C4" s="10" t="n">
        <v>0.004</v>
      </c>
      <c r="D4" s="10" t="n">
        <v>0.005</v>
      </c>
      <c r="E4" s="10" t="n">
        <v>0.006</v>
      </c>
      <c r="F4" s="10" t="n">
        <v>0.008</v>
      </c>
    </row>
    <row r="5" customFormat="false" ht="15" hidden="false" customHeight="false" outlineLevel="0" collapsed="false">
      <c r="A5" s="10" t="n">
        <v>0.02</v>
      </c>
      <c r="B5" s="11" t="n">
        <f aca="false">IFERROR(Assumptions!$C$2*(1+($A5-B$4))^Assumptions!$C$7+Assumptions!$C$3*((1+($A5-B$4))^Assumptions!$C$7-(1+Assumptions!$C$4)^Assumptions!$C$7)/(($A5-B$4)-Assumptions!$C$4),Assumptions!$C$2*(1+($A5-B$4))^Assumptions!$C$7+Assumptions!$C$3*Assumptions!$C$7*(1+Assumptions!$C$4)^(Assumptions!$C$7-1))</f>
        <v>1413690.70873414</v>
      </c>
      <c r="C5" s="11" t="n">
        <f aca="false">IFERROR(Assumptions!$C$2*(1+($A5-C$4))^Assumptions!$C$7+Assumptions!$C$3*((1+($A5-C$4))^Assumptions!$C$7-(1+Assumptions!$C$4)^Assumptions!$C$7)/(($A5-C$4)-Assumptions!$C$4),Assumptions!$C$2*(1+($A5-C$4))^Assumptions!$C$7+Assumptions!$C$3*Assumptions!$C$7*(1+Assumptions!$C$4)^(Assumptions!$C$7-1))</f>
        <v>1369489.65644338</v>
      </c>
      <c r="D5" s="11" t="n">
        <f aca="false">IFERROR(Assumptions!$C$2*(1+($A5-D$4))^Assumptions!$C$7+Assumptions!$C$3*((1+($A5-D$4))^Assumptions!$C$7-(1+Assumptions!$C$4)^Assumptions!$C$7)/(($A5-D$4)-Assumptions!$C$4),Assumptions!$C$2*(1+($A5-D$4))^Assumptions!$C$7+Assumptions!$C$3*Assumptions!$C$7*(1+Assumptions!$C$4)^(Assumptions!$C$7-1))</f>
        <v>1348058.5673891</v>
      </c>
      <c r="E5" s="11" t="n">
        <f aca="false">IFERROR(Assumptions!$C$2*(1+($A5-E$4))^Assumptions!$C$7+Assumptions!$C$3*((1+($A5-E$4))^Assumptions!$C$7-(1+Assumptions!$C$4)^Assumptions!$C$7)/(($A5-E$4)-Assumptions!$C$4),Assumptions!$C$2*(1+($A5-E$4))^Assumptions!$C$7+Assumptions!$C$3*Assumptions!$C$7*(1+Assumptions!$C$4)^(Assumptions!$C$7-1))</f>
        <v>1327060.74113466</v>
      </c>
      <c r="F5" s="11" t="n">
        <f aca="false">IFERROR(Assumptions!$C$2*(1+($A5-F$4))^Assumptions!$C$7+Assumptions!$C$3*((1+($A5-F$4))^Assumptions!$C$7-(1+Assumptions!$C$4)^Assumptions!$C$7)/(($A5-F$4)-Assumptions!$C$4),Assumptions!$C$2*(1+($A5-F$4))^Assumptions!$C$7+Assumptions!$C$3*Assumptions!$C$7*(1+Assumptions!$C$4)^(Assumptions!$C$7-1))</f>
        <v>1286327.10215427</v>
      </c>
    </row>
    <row r="6" customFormat="false" ht="15" hidden="false" customHeight="false" outlineLevel="0" collapsed="false">
      <c r="A6" s="10" t="n">
        <v>0.03</v>
      </c>
      <c r="B6" s="11" t="n">
        <f aca="false">IFERROR(Assumptions!$C$2*(1+($A6-B$4))^Assumptions!$C$7+Assumptions!$C$3*((1+($A6-B$4))^Assumptions!$C$7-(1+Assumptions!$C$4)^Assumptions!$C$7)/(($A6-B$4)-Assumptions!$C$4),Assumptions!$C$2*(1+($A6-B$4))^Assumptions!$C$7+Assumptions!$C$3*Assumptions!$C$7*(1+Assumptions!$C$4)^(Assumptions!$C$7-1))</f>
        <v>1664228.05106331</v>
      </c>
      <c r="C6" s="11" t="n">
        <f aca="false">IFERROR(Assumptions!$C$2*(1+($A6-C$4))^Assumptions!$C$7+Assumptions!$C$3*((1+($A6-C$4))^Assumptions!$C$7-(1+Assumptions!$C$4)^Assumptions!$C$7)/(($A6-C$4)-Assumptions!$C$4),Assumptions!$C$2*(1+($A6-C$4))^Assumptions!$C$7+Assumptions!$C$3*Assumptions!$C$7*(1+Assumptions!$C$4)^(Assumptions!$C$7-1))</f>
        <v>1609882.23386227</v>
      </c>
      <c r="D6" s="11" t="n">
        <f aca="false">IFERROR(Assumptions!$C$2*(1+($A6-D$4))^Assumptions!$C$7+Assumptions!$C$3*((1+($A6-D$4))^Assumptions!$C$7-(1+Assumptions!$C$4)^Assumptions!$C$7)/(($A6-D$4)-Assumptions!$C$4),Assumptions!$C$2*(1+($A6-D$4))^Assumptions!$C$7+Assumptions!$C$3*Assumptions!$C$7*(1+Assumptions!$C$4)^(Assumptions!$C$7-1))</f>
        <v>1583545.53380465</v>
      </c>
      <c r="E6" s="11" t="n">
        <f aca="false">IFERROR(Assumptions!$C$2*(1+($A6-E$4))^Assumptions!$C$7+Assumptions!$C$3*((1+($A6-E$4))^Assumptions!$C$7-(1+Assumptions!$C$4)^Assumptions!$C$7)/(($A6-E$4)-Assumptions!$C$4),Assumptions!$C$2*(1+($A6-E$4))^Assumptions!$C$7+Assumptions!$C$3*Assumptions!$C$7*(1+Assumptions!$C$4)^(Assumptions!$C$7-1))</f>
        <v>1557749.95102024</v>
      </c>
      <c r="F6" s="11" t="n">
        <f aca="false">IFERROR(Assumptions!$C$2*(1+($A6-F$4))^Assumptions!$C$7+Assumptions!$C$3*((1+($A6-F$4))^Assumptions!$C$7-(1+Assumptions!$C$4)^Assumptions!$C$7)/(($A6-F$4)-Assumptions!$C$4),Assumptions!$C$2*(1+($A6-F$4))^Assumptions!$C$7+Assumptions!$C$3*Assumptions!$C$7*(1+Assumptions!$C$4)^(Assumptions!$C$7-1))</f>
        <v>1507734.71701447</v>
      </c>
    </row>
    <row r="7" customFormat="false" ht="15" hidden="false" customHeight="false" outlineLevel="0" collapsed="false">
      <c r="A7" s="10" t="n">
        <v>0.04</v>
      </c>
      <c r="B7" s="11" t="n">
        <f aca="false">IFERROR(Assumptions!$C$2*(1+($A7-B$4))^Assumptions!$C$7+Assumptions!$C$3*((1+($A7-B$4))^Assumptions!$C$7-(1+Assumptions!$C$4)^Assumptions!$C$7)/(($A7-B$4)-Assumptions!$C$4),Assumptions!$C$2*(1+($A7-B$4))^Assumptions!$C$7+Assumptions!$C$3*Assumptions!$C$7*(1+Assumptions!$C$4)^(Assumptions!$C$7-1))</f>
        <v>1972863.21769383</v>
      </c>
      <c r="C7" s="11" t="n">
        <f aca="false">IFERROR(Assumptions!$C$2*(1+($A7-C$4))^Assumptions!$C$7+Assumptions!$C$3*((1+($A7-C$4))^Assumptions!$C$7-(1+Assumptions!$C$4)^Assumptions!$C$7)/(($A7-C$4)-Assumptions!$C$4),Assumptions!$C$2*(1+($A7-C$4))^Assumptions!$C$7+Assumptions!$C$3*Assumptions!$C$7*(1+Assumptions!$C$4)^(Assumptions!$C$7-1))</f>
        <v>1905837.88672943</v>
      </c>
      <c r="D7" s="11" t="n">
        <f aca="false">IFERROR(Assumptions!$C$2*(1+($A7-D$4))^Assumptions!$C$7+Assumptions!$C$3*((1+($A7-D$4))^Assumptions!$C$7-(1+Assumptions!$C$4)^Assumptions!$C$7)/(($A7-D$4)-Assumptions!$C$4),Assumptions!$C$2*(1+($A7-D$4))^Assumptions!$C$7+Assumptions!$C$3*Assumptions!$C$7*(1+Assumptions!$C$4)^(Assumptions!$C$7-1))</f>
        <v>1873370.7634291</v>
      </c>
      <c r="E7" s="11" t="n">
        <f aca="false">IFERROR(Assumptions!$C$2*(1+($A7-E$4))^Assumptions!$C$7+Assumptions!$C$3*((1+($A7-E$4))^Assumptions!$C$7-(1+Assumptions!$C$4)^Assumptions!$C$7)/(($A7-E$4)-Assumptions!$C$4),Assumptions!$C$2*(1+($A7-E$4))^Assumptions!$C$7+Assumptions!$C$3*Assumptions!$C$7*(1+Assumptions!$C$4)^(Assumptions!$C$7-1))</f>
        <v>1841580.14087846</v>
      </c>
      <c r="F7" s="11" t="n">
        <f aca="false">IFERROR(Assumptions!$C$2*(1+($A7-F$4))^Assumptions!$C$7+Assumptions!$C$3*((1+($A7-F$4))^Assumptions!$C$7-(1+Assumptions!$C$4)^Assumptions!$C$7)/(($A7-F$4)-Assumptions!$C$4),Assumptions!$C$2*(1+($A7-F$4))^Assumptions!$C$7+Assumptions!$C$3*Assumptions!$C$7*(1+Assumptions!$C$4)^(Assumptions!$C$7-1))</f>
        <v>1779968.87847706</v>
      </c>
    </row>
    <row r="8" customFormat="false" ht="15" hidden="false" customHeight="false" outlineLevel="0" collapsed="false">
      <c r="A8" s="10" t="n">
        <v>0.05</v>
      </c>
      <c r="B8" s="11" t="n">
        <f aca="false">IFERROR(Assumptions!$C$2*(1+($A8-B$4))^Assumptions!$C$7+Assumptions!$C$3*((1+($A8-B$4))^Assumptions!$C$7-(1+Assumptions!$C$4)^Assumptions!$C$7)/(($A8-B$4)-Assumptions!$C$4),Assumptions!$C$2*(1+($A8-B$4))^Assumptions!$C$7+Assumptions!$C$3*Assumptions!$C$7*(1+Assumptions!$C$4)^(Assumptions!$C$7-1))</f>
        <v>2354150.9497821</v>
      </c>
      <c r="C8" s="11" t="n">
        <f aca="false">IFERROR(Assumptions!$C$2*(1+($A8-C$4))^Assumptions!$C$7+Assumptions!$C$3*((1+($A8-C$4))^Assumptions!$C$7-(1+Assumptions!$C$4)^Assumptions!$C$7)/(($A8-C$4)-Assumptions!$C$4),Assumptions!$C$2*(1+($A8-C$4))^Assumptions!$C$7+Assumptions!$C$3*Assumptions!$C$7*(1+Assumptions!$C$4)^(Assumptions!$C$7-1))</f>
        <v>2271264.89555954</v>
      </c>
      <c r="D8" s="11" t="n">
        <f aca="false">IFERROR(Assumptions!$C$2*(1+($A8-D$4))^Assumptions!$C$7+Assumptions!$C$3*((1+($A8-D$4))^Assumptions!$C$7-(1+Assumptions!$C$4)^Assumptions!$C$7)/(($A8-D$4)-Assumptions!$C$4),Assumptions!$C$2*(1+($A8-D$4))^Assumptions!$C$7+Assumptions!$C$3*Assumptions!$C$7*(1+Assumptions!$C$4)^(Assumptions!$C$7-1))</f>
        <v>2231130.10186985</v>
      </c>
      <c r="E8" s="11" t="n">
        <f aca="false">IFERROR(Assumptions!$C$2*(1+($A8-E$4))^Assumptions!$C$7+Assumptions!$C$3*((1+($A8-E$4))^Assumptions!$C$7-(1+Assumptions!$C$4)^Assumptions!$C$7)/(($A8-E$4)-Assumptions!$C$4),Assumptions!$C$2*(1+($A8-E$4))^Assumptions!$C$7+Assumptions!$C$3*Assumptions!$C$7*(1+Assumptions!$C$4)^(Assumptions!$C$7-1))</f>
        <v>2191841.70783857</v>
      </c>
      <c r="F8" s="11" t="n">
        <f aca="false">IFERROR(Assumptions!$C$2*(1+($A8-F$4))^Assumptions!$C$7+Assumptions!$C$3*((1+($A8-F$4))^Assumptions!$C$7-(1+Assumptions!$C$4)^Assumptions!$C$7)/(($A8-F$4)-Assumptions!$C$4),Assumptions!$C$2*(1+($A8-F$4))^Assumptions!$C$7+Assumptions!$C$3*Assumptions!$C$7*(1+Assumptions!$C$4)^(Assumptions!$C$7-1))</f>
        <v>2115729.43467155</v>
      </c>
    </row>
    <row r="9" customFormat="false" ht="15" hidden="false" customHeight="false" outlineLevel="0" collapsed="false">
      <c r="A9" s="10" t="n">
        <v>0.06</v>
      </c>
      <c r="B9" s="11" t="n">
        <f aca="false">IFERROR(Assumptions!$C$2*(1+($A9-B$4))^Assumptions!$C$7+Assumptions!$C$3*((1+($A9-B$4))^Assumptions!$C$7-(1+Assumptions!$C$4)^Assumptions!$C$7)/(($A9-B$4)-Assumptions!$C$4),Assumptions!$C$2*(1+($A9-B$4))^Assumptions!$C$7+Assumptions!$C$3*Assumptions!$C$7*(1+Assumptions!$C$4)^(Assumptions!$C$7-1))</f>
        <v>2826354.43919917</v>
      </c>
      <c r="C9" s="11" t="n">
        <f aca="false">IFERROR(Assumptions!$C$2*(1+($A9-C$4))^Assumptions!$C$7+Assumptions!$C$3*((1+($A9-C$4))^Assumptions!$C$7-(1+Assumptions!$C$4)^Assumptions!$C$7)/(($A9-C$4)-Assumptions!$C$4),Assumptions!$C$2*(1+($A9-C$4))^Assumptions!$C$7+Assumptions!$C$3*Assumptions!$C$7*(1+Assumptions!$C$4)^(Assumptions!$C$7-1))</f>
        <v>2723616.45092938</v>
      </c>
      <c r="D9" s="11" t="n">
        <f aca="false">IFERROR(Assumptions!$C$2*(1+($A9-D$4))^Assumptions!$C$7+Assumptions!$C$3*((1+($A9-D$4))^Assumptions!$C$7-(1+Assumptions!$C$4)^Assumptions!$C$7)/(($A9-D$4)-Assumptions!$C$4),Assumptions!$C$2*(1+($A9-D$4))^Assumptions!$C$7+Assumptions!$C$3*Assumptions!$C$7*(1+Assumptions!$C$4)^(Assumptions!$C$7-1))</f>
        <v>2673885.21178239</v>
      </c>
      <c r="E9" s="11" t="n">
        <f aca="false">IFERROR(Assumptions!$C$2*(1+($A9-E$4))^Assumptions!$C$7+Assumptions!$C$3*((1+($A9-E$4))^Assumptions!$C$7-(1+Assumptions!$C$4)^Assumptions!$C$7)/(($A9-E$4)-Assumptions!$C$4),Assumptions!$C$2*(1+($A9-E$4))^Assumptions!$C$7+Assumptions!$C$3*Assumptions!$C$7*(1+Assumptions!$C$4)^(Assumptions!$C$7-1))</f>
        <v>2625213.50718183</v>
      </c>
      <c r="F9" s="11" t="n">
        <f aca="false">IFERROR(Assumptions!$C$2*(1+($A9-F$4))^Assumptions!$C$7+Assumptions!$C$3*((1+($A9-F$4))^Assumptions!$C$7-(1+Assumptions!$C$4)^Assumptions!$C$7)/(($A9-F$4)-Assumptions!$C$4),Assumptions!$C$2*(1+($A9-F$4))^Assumptions!$C$7+Assumptions!$C$3*Assumptions!$C$7*(1+Assumptions!$C$4)^(Assumptions!$C$7-1))</f>
        <v>2530955.02888152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2026-09-06T07:53:19Z</dcterms:created>
  <dc:creator>openpyxl</dc:creator>
  <dc:description/>
  <dc:language>en-US</dc:language>
  <cp:lastModifiedBy/>
  <dcterms:modified xsi:type="dcterms:W3CDTF">2026-09-06T07:53:19Z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